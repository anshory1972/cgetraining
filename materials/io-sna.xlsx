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I\TRAININGYOGYA\biyogya_files\"/>
    </mc:Choice>
  </mc:AlternateContent>
  <xr:revisionPtr revIDLastSave="0" documentId="8_{39D617EF-7B0D-450B-8F1F-055BC2509A02}" xr6:coauthVersionLast="44" xr6:coauthVersionMax="44" xr10:uidLastSave="{00000000-0000-0000-0000-000000000000}"/>
  <bookViews>
    <workbookView xWindow="-110" yWindow="-110" windowWidth="19420" windowHeight="10420" activeTab="1" xr2:uid="{CEAB895A-0EA9-4301-8CEC-3809FBDAF0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2" l="1"/>
  <c r="L6" i="2"/>
  <c r="M7" i="2"/>
  <c r="M6" i="2"/>
  <c r="K7" i="2"/>
  <c r="K6" i="2"/>
  <c r="J7" i="2"/>
  <c r="J6" i="2"/>
  <c r="J5" i="2"/>
  <c r="J4" i="2"/>
  <c r="I7" i="2"/>
  <c r="I6" i="2"/>
  <c r="I5" i="2"/>
  <c r="I4" i="2"/>
  <c r="D7" i="2"/>
  <c r="J9" i="2" s="1"/>
  <c r="C7" i="2"/>
  <c r="I9" i="2" s="1"/>
  <c r="D6" i="2"/>
  <c r="J8" i="2" s="1"/>
  <c r="C6" i="2"/>
  <c r="I8" i="2" s="1"/>
  <c r="I18" i="2" l="1"/>
  <c r="I12" i="2"/>
  <c r="C11" i="2"/>
  <c r="J10" i="2"/>
  <c r="I10" i="2"/>
  <c r="D8" i="2"/>
  <c r="E5" i="2" s="1"/>
  <c r="C8" i="2"/>
  <c r="E4" i="2" s="1"/>
  <c r="M5" i="2" l="1"/>
  <c r="N5" i="2"/>
  <c r="M4" i="2"/>
  <c r="N4" i="2"/>
  <c r="F5" i="2"/>
  <c r="K5" i="2"/>
  <c r="F4" i="2"/>
  <c r="K4" i="2"/>
  <c r="I14" i="2" l="1"/>
  <c r="I17" i="2"/>
  <c r="I16" i="2"/>
  <c r="Q4" i="2"/>
  <c r="L4" i="2" s="1"/>
  <c r="Q5" i="2"/>
  <c r="L5" i="2" s="1"/>
  <c r="O5" i="2" s="1"/>
  <c r="O4" i="2" l="1"/>
  <c r="I15" i="2"/>
  <c r="I13" i="2" s="1"/>
</calcChain>
</file>

<file path=xl/sharedStrings.xml><?xml version="1.0" encoding="utf-8"?>
<sst xmlns="http://schemas.openxmlformats.org/spreadsheetml/2006/main" count="33" uniqueCount="23">
  <si>
    <t>Closed economy</t>
  </si>
  <si>
    <t>2 sectors/2 goods</t>
  </si>
  <si>
    <t>2 primary factors (no secondary factor of prod)</t>
  </si>
  <si>
    <t>i1</t>
  </si>
  <si>
    <t>i2</t>
  </si>
  <si>
    <t>c1</t>
  </si>
  <si>
    <t>c2</t>
  </si>
  <si>
    <t>w*L (salary)</t>
  </si>
  <si>
    <t>r*K (surplus)</t>
  </si>
  <si>
    <t>Total Input (P*X)</t>
  </si>
  <si>
    <t>C</t>
  </si>
  <si>
    <t>Ouput</t>
  </si>
  <si>
    <t>c1d</t>
  </si>
  <si>
    <t>c2d</t>
  </si>
  <si>
    <t>c1m</t>
  </si>
  <si>
    <t>c2m</t>
  </si>
  <si>
    <t>I</t>
  </si>
  <si>
    <t>G</t>
  </si>
  <si>
    <t>X</t>
  </si>
  <si>
    <t>OUTPUT</t>
  </si>
  <si>
    <t>GDP</t>
  </si>
  <si>
    <t>GDP (at FC)</t>
  </si>
  <si>
    <t>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</si>
</sst>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72DE-3044-45F2-97B3-44D0207745A9}">
  <dimension ref="B2:B4"/>
  <sheetViews>
    <sheetView zoomScale="170" zoomScaleNormal="170" workbookViewId="0">
      <selection activeCell="B6" sqref="B6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E010-18DE-4DE4-9925-1B4D91A05198}">
  <dimension ref="B3:Q18"/>
  <sheetViews>
    <sheetView tabSelected="1" zoomScale="110" zoomScaleNormal="110" workbookViewId="0">
      <selection activeCell="L12" sqref="L12"/>
    </sheetView>
  </sheetViews>
  <sheetFormatPr defaultRowHeight="14.5" x14ac:dyDescent="0.35"/>
  <cols>
    <col min="1" max="1" width="8.7265625" style="1"/>
    <col min="2" max="2" width="14.7265625" style="1" customWidth="1"/>
    <col min="3" max="6" width="8.7265625" style="1"/>
    <col min="7" max="7" width="3" style="1" customWidth="1"/>
    <col min="8" max="8" width="15.08984375" style="1" customWidth="1"/>
    <col min="9" max="16384" width="8.7265625" style="1"/>
  </cols>
  <sheetData>
    <row r="3" spans="2:17" x14ac:dyDescent="0.35">
      <c r="C3" s="1" t="s">
        <v>3</v>
      </c>
      <c r="D3" s="1" t="s">
        <v>4</v>
      </c>
      <c r="E3" s="1" t="s">
        <v>10</v>
      </c>
      <c r="F3" s="1" t="s">
        <v>11</v>
      </c>
      <c r="I3" s="1" t="s">
        <v>3</v>
      </c>
      <c r="J3" s="1" t="s">
        <v>4</v>
      </c>
      <c r="K3" s="1" t="s">
        <v>10</v>
      </c>
      <c r="L3" s="1" t="s">
        <v>16</v>
      </c>
      <c r="M3" s="1" t="s">
        <v>17</v>
      </c>
      <c r="N3" s="1" t="s">
        <v>18</v>
      </c>
      <c r="O3" s="1" t="s">
        <v>19</v>
      </c>
    </row>
    <row r="4" spans="2:17" x14ac:dyDescent="0.35">
      <c r="B4" s="1" t="s">
        <v>5</v>
      </c>
      <c r="E4" s="1">
        <f ca="1">C8</f>
        <v>92.494819616938628</v>
      </c>
      <c r="F4" s="1">
        <f ca="1">E4</f>
        <v>92.494819616938628</v>
      </c>
      <c r="H4" s="1" t="s">
        <v>12</v>
      </c>
      <c r="I4" s="1">
        <f ca="1">100*RAND()</f>
        <v>21.225512619749598</v>
      </c>
      <c r="J4" s="1">
        <f ca="1">100*RAND()</f>
        <v>89.728644275460056</v>
      </c>
      <c r="K4" s="1">
        <f ca="1">0.6*E4</f>
        <v>55.496891770163174</v>
      </c>
      <c r="L4" s="1">
        <f ca="1">I10-Q4</f>
        <v>14.672086003984816</v>
      </c>
      <c r="M4" s="1">
        <f ca="1">0.2*E4</f>
        <v>18.498963923387727</v>
      </c>
      <c r="N4" s="1">
        <f ca="1">0.1*E4</f>
        <v>9.2494819616938635</v>
      </c>
      <c r="O4" s="1">
        <f ca="1">SUM(I4:N4)</f>
        <v>208.87158055443922</v>
      </c>
      <c r="Q4" s="1">
        <f ca="1">I4+J4+K4+M4+N4</f>
        <v>194.1994945504544</v>
      </c>
    </row>
    <row r="5" spans="2:17" x14ac:dyDescent="0.35">
      <c r="B5" s="1" t="s">
        <v>6</v>
      </c>
      <c r="E5" s="1">
        <f ca="1">D8</f>
        <v>920.52689987615531</v>
      </c>
      <c r="F5" s="1">
        <f ca="1">E5</f>
        <v>920.52689987615531</v>
      </c>
      <c r="H5" s="1" t="s">
        <v>13</v>
      </c>
      <c r="I5" s="1">
        <f t="shared" ref="I5:M7" ca="1" si="0">100*RAND()</f>
        <v>2.4503470652677328</v>
      </c>
      <c r="J5" s="1">
        <f t="shared" ca="1" si="0"/>
        <v>30.173298908076163</v>
      </c>
      <c r="K5" s="1">
        <f ca="1">0.6*E5</f>
        <v>552.31613992569316</v>
      </c>
      <c r="L5" s="1">
        <f ca="1">J10-Q5</f>
        <v>290.74001811392998</v>
      </c>
      <c r="M5" s="1">
        <f ca="1">0.2*E5</f>
        <v>184.10537997523107</v>
      </c>
      <c r="N5" s="1">
        <f ca="1">0.1*E5</f>
        <v>92.052689987615537</v>
      </c>
      <c r="O5" s="1">
        <f ca="1">SUM(I5:N5)</f>
        <v>1151.8378739758136</v>
      </c>
      <c r="Q5" s="1">
        <f ca="1">I5+J5+K5+M5+N5</f>
        <v>861.09785586188366</v>
      </c>
    </row>
    <row r="6" spans="2:17" x14ac:dyDescent="0.35">
      <c r="B6" s="1" t="s">
        <v>7</v>
      </c>
      <c r="C6" s="1">
        <f ca="1">RAND()*1000</f>
        <v>78.026231996479737</v>
      </c>
      <c r="D6" s="1">
        <f t="shared" ref="D6:D7" ca="1" si="1">RAND()*1000</f>
        <v>86.347056607163793</v>
      </c>
      <c r="H6" s="1" t="s">
        <v>14</v>
      </c>
      <c r="I6" s="1">
        <f t="shared" ca="1" si="0"/>
        <v>55.425776549950321</v>
      </c>
      <c r="J6" s="1">
        <f t="shared" ca="1" si="0"/>
        <v>68.038424829276479</v>
      </c>
      <c r="K6" s="1">
        <f t="shared" ca="1" si="0"/>
        <v>6.8111261881677709</v>
      </c>
      <c r="L6" s="1">
        <f t="shared" ca="1" si="0"/>
        <v>44.125860224589474</v>
      </c>
      <c r="M6" s="1">
        <f t="shared" ca="1" si="0"/>
        <v>59.716498569949259</v>
      </c>
    </row>
    <row r="7" spans="2:17" x14ac:dyDescent="0.35">
      <c r="B7" s="1" t="s">
        <v>8</v>
      </c>
      <c r="C7" s="1">
        <f t="shared" ref="C7:D7" ca="1" si="2">RAND()*1000</f>
        <v>14.468587620458884</v>
      </c>
      <c r="D7" s="1">
        <f t="shared" ca="1" si="1"/>
        <v>834.17984326899148</v>
      </c>
      <c r="H7" s="1" t="s">
        <v>15</v>
      </c>
      <c r="I7" s="1">
        <f t="shared" ca="1" si="0"/>
        <v>37.275124702532935</v>
      </c>
      <c r="J7" s="1">
        <f t="shared" ca="1" si="0"/>
        <v>43.370606086845555</v>
      </c>
      <c r="K7" s="1">
        <f t="shared" ca="1" si="0"/>
        <v>5.9247822214448354</v>
      </c>
      <c r="L7" s="1">
        <f t="shared" ca="1" si="0"/>
        <v>58.046815577863754</v>
      </c>
      <c r="M7" s="1">
        <f t="shared" ca="1" si="0"/>
        <v>60.785633966666111</v>
      </c>
    </row>
    <row r="8" spans="2:17" x14ac:dyDescent="0.35">
      <c r="B8" s="1" t="s">
        <v>9</v>
      </c>
      <c r="C8" s="1">
        <f ca="1">SUM(C6:C7)</f>
        <v>92.494819616938628</v>
      </c>
      <c r="D8" s="1">
        <f ca="1">SUM(D6:D7)</f>
        <v>920.52689987615531</v>
      </c>
      <c r="H8" s="1" t="s">
        <v>7</v>
      </c>
      <c r="I8" s="1">
        <f ca="1">C6</f>
        <v>78.026231996479737</v>
      </c>
      <c r="J8" s="1">
        <f t="shared" ref="J8:J9" ca="1" si="3">D6</f>
        <v>86.347056607163793</v>
      </c>
    </row>
    <row r="9" spans="2:17" x14ac:dyDescent="0.35">
      <c r="H9" s="1" t="s">
        <v>8</v>
      </c>
      <c r="I9" s="1">
        <f t="shared" ref="I9" ca="1" si="4">C7</f>
        <v>14.468587620458884</v>
      </c>
      <c r="J9" s="1">
        <f t="shared" ca="1" si="3"/>
        <v>834.17984326899148</v>
      </c>
    </row>
    <row r="10" spans="2:17" x14ac:dyDescent="0.35">
      <c r="H10" s="1" t="s">
        <v>9</v>
      </c>
      <c r="I10" s="1">
        <f ca="1">SUM(I4:I9)</f>
        <v>208.87158055443922</v>
      </c>
      <c r="J10" s="1">
        <f ca="1">SUM(J4:J9)</f>
        <v>1151.8378739758136</v>
      </c>
    </row>
    <row r="11" spans="2:17" x14ac:dyDescent="0.35">
      <c r="B11" s="1" t="s">
        <v>20</v>
      </c>
      <c r="C11" s="1">
        <f ca="1">SUM(C6:D7)</f>
        <v>1013.0217194930939</v>
      </c>
    </row>
    <row r="12" spans="2:17" x14ac:dyDescent="0.35">
      <c r="H12" s="1" t="s">
        <v>21</v>
      </c>
      <c r="I12" s="1">
        <f ca="1">SUM(I8:J9)</f>
        <v>1013.0217194930939</v>
      </c>
    </row>
    <row r="13" spans="2:17" x14ac:dyDescent="0.35">
      <c r="I13" s="1">
        <f ca="1">I14+I15+I16+I17-I18</f>
        <v>1013.0217194930942</v>
      </c>
    </row>
    <row r="14" spans="2:17" x14ac:dyDescent="0.35">
      <c r="H14" s="1" t="s">
        <v>10</v>
      </c>
      <c r="I14" s="1">
        <f ca="1">SUM(K4:K7)</f>
        <v>620.548940105469</v>
      </c>
    </row>
    <row r="15" spans="2:17" x14ac:dyDescent="0.35">
      <c r="H15" s="1" t="s">
        <v>16</v>
      </c>
      <c r="I15" s="1">
        <f ca="1">SUM(L4:L7)</f>
        <v>407.58477992036802</v>
      </c>
    </row>
    <row r="16" spans="2:17" x14ac:dyDescent="0.35">
      <c r="H16" s="1" t="s">
        <v>17</v>
      </c>
      <c r="I16" s="1">
        <f ca="1">SUM(M4:M7)</f>
        <v>323.10647643523419</v>
      </c>
    </row>
    <row r="17" spans="8:9" x14ac:dyDescent="0.35">
      <c r="H17" s="1" t="s">
        <v>18</v>
      </c>
      <c r="I17" s="1">
        <f ca="1">SUM(N4:N5)</f>
        <v>101.3021719493094</v>
      </c>
    </row>
    <row r="18" spans="8:9" x14ac:dyDescent="0.35">
      <c r="H18" s="2" t="s">
        <v>22</v>
      </c>
      <c r="I18" s="1">
        <f ca="1">SUM(I6:M7)</f>
        <v>439.52064891728656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</dc:creator>
  <cp:lastModifiedBy>Arief</cp:lastModifiedBy>
  <dcterms:created xsi:type="dcterms:W3CDTF">2020-03-10T01:39:27Z</dcterms:created>
  <dcterms:modified xsi:type="dcterms:W3CDTF">2020-03-10T11:00:07Z</dcterms:modified>
</cp:coreProperties>
</file>