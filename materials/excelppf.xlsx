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E:\chiangmai\module\"/>
    </mc:Choice>
  </mc:AlternateContent>
  <xr:revisionPtr revIDLastSave="0" documentId="13_ncr:1_{669DBD5E-D220-4018-B881-2233B0449B4D}" xr6:coauthVersionLast="47" xr6:coauthVersionMax="47" xr10:uidLastSave="{00000000-0000-0000-0000-000000000000}"/>
  <bookViews>
    <workbookView xWindow="-120" yWindow="-120" windowWidth="29040" windowHeight="15720" firstSheet="1" activeTab="1" xr2:uid="{00000000-000D-0000-FFFF-FFFF00000000}"/>
  </bookViews>
  <sheets>
    <sheet name="Keterangan dan Instruksi" sheetId="2" state="hidden" r:id="rId1"/>
    <sheet name="Diagram" sheetId="1" r:id="rId2"/>
  </sheets>
  <definedNames>
    <definedName name="alpha0">Diagram!$G$1</definedName>
    <definedName name="alpha1">Diagram!$G$2</definedName>
    <definedName name="ap1p20">Diagram!$AB$4</definedName>
    <definedName name="ap1p21">Diagram!$AB$5</definedName>
    <definedName name="beta0">Diagram!$I$1</definedName>
    <definedName name="beta1">Diagram!$I$2</definedName>
    <definedName name="gamma0">Diagram!$N$1</definedName>
    <definedName name="gamma1">Diagram!$N$2</definedName>
    <definedName name="interc0">Diagram!$I$5</definedName>
    <definedName name="interc1">Diagram!$U$5</definedName>
    <definedName name="K1e0">Diagram!$C$4</definedName>
    <definedName name="K1e1">Diagram!$O$4</definedName>
    <definedName name="K2e0">Diagram!$C$5</definedName>
    <definedName name="K2e1">Diagram!$O$5</definedName>
    <definedName name="L1e0">Diagram!$E$4</definedName>
    <definedName name="L1e1">Diagram!$Q$4</definedName>
    <definedName name="L2e0">Diagram!$E$5</definedName>
    <definedName name="L2e1">Diagram!$Q$5</definedName>
    <definedName name="mrs0">Diagram!$Z$4</definedName>
    <definedName name="mrsc0">Diagram!$Z$4</definedName>
    <definedName name="mrsc1">Diagram!$Z$5</definedName>
    <definedName name="mrt0">Diagram!$I$4</definedName>
    <definedName name="mrts1">Diagram!$U$4</definedName>
    <definedName name="SCapital0">Diagram!$C$1</definedName>
    <definedName name="SCapital1">Diagram!$C$2</definedName>
    <definedName name="SLab0">Diagram!$E$1</definedName>
    <definedName name="SLab1">Diagram!$E$2</definedName>
    <definedName name="TechA0">Diagram!$P$1</definedName>
    <definedName name="TechA1">Diagram!$P$2</definedName>
    <definedName name="TechB0">Diagram!$R$1</definedName>
    <definedName name="TechB1">Diagram!$R$2</definedName>
    <definedName name="util0">Diagram!$W$4</definedName>
    <definedName name="util1">Diagram!$W$5</definedName>
    <definedName name="X1e0">Diagram!$G$4</definedName>
    <definedName name="X1e1">Diagram!$S$4</definedName>
    <definedName name="X2e0">Diagram!$G$5</definedName>
    <definedName name="X2e1">Diagram!$S$5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6" i="1" l="1"/>
  <c r="AP6" i="1"/>
  <c r="C2" i="1"/>
  <c r="AW10" i="1"/>
  <c r="AW11" i="1"/>
  <c r="AW12" i="1"/>
  <c r="AW13" i="1"/>
  <c r="AW14" i="1"/>
  <c r="AW15" i="1"/>
  <c r="AW16" i="1"/>
  <c r="AW17" i="1"/>
  <c r="AW18" i="1"/>
  <c r="AW19" i="1"/>
  <c r="G2" i="1"/>
  <c r="R1" i="1"/>
  <c r="P1" i="1"/>
  <c r="N1" i="1"/>
  <c r="E2" i="1"/>
  <c r="E1" i="1"/>
  <c r="C1" i="1"/>
  <c r="N2" i="1"/>
  <c r="I2" i="1"/>
  <c r="R2" i="1"/>
  <c r="P2" i="1"/>
  <c r="G1" i="1" l="1"/>
  <c r="I1" i="1"/>
  <c r="K17" i="1"/>
  <c r="K18" i="1" s="1"/>
  <c r="K14" i="1"/>
  <c r="K15" i="1" s="1"/>
  <c r="J11" i="1"/>
  <c r="J12" i="1" s="1"/>
  <c r="J8" i="1"/>
  <c r="J9" i="1" s="1"/>
  <c r="C8" i="1"/>
  <c r="C9" i="1"/>
  <c r="C11" i="1"/>
  <c r="P11" i="1" s="1"/>
  <c r="C12" i="1"/>
  <c r="C13" i="1"/>
  <c r="C14" i="1"/>
  <c r="C15" i="1"/>
  <c r="C16" i="1"/>
  <c r="C17" i="1"/>
  <c r="C18" i="1"/>
  <c r="C19" i="1"/>
  <c r="C20" i="1"/>
  <c r="P20" i="1" s="1"/>
  <c r="C21" i="1"/>
  <c r="P21" i="1" s="1"/>
  <c r="C22" i="1"/>
  <c r="P22" i="1" s="1"/>
  <c r="C23" i="1"/>
  <c r="C24" i="1"/>
  <c r="C25" i="1"/>
  <c r="C26" i="1"/>
  <c r="C27" i="1"/>
  <c r="P27" i="1" s="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A10" i="1"/>
  <c r="C10" i="1" s="1"/>
  <c r="B9" i="1" l="1"/>
  <c r="N9" i="1" s="1"/>
  <c r="B11" i="1"/>
  <c r="N11" i="1" s="1"/>
  <c r="B8" i="1"/>
  <c r="N8" i="1" s="1"/>
  <c r="P9" i="1"/>
  <c r="P8" i="1"/>
  <c r="P10" i="1"/>
  <c r="B10" i="1"/>
  <c r="M10" i="1" s="1"/>
  <c r="P12" i="1"/>
  <c r="B12" i="1"/>
  <c r="O8" i="1"/>
  <c r="O10" i="1"/>
  <c r="M9" i="1" l="1"/>
  <c r="N12" i="1"/>
  <c r="N10" i="1"/>
  <c r="O12" i="1"/>
  <c r="P13" i="1"/>
  <c r="B13" i="1"/>
  <c r="M11" i="1"/>
  <c r="M12" i="1"/>
  <c r="M8" i="1"/>
  <c r="O9" i="1"/>
  <c r="O11" i="1"/>
  <c r="Q4" i="1"/>
  <c r="AZ13" i="1" s="1"/>
  <c r="O4" i="1"/>
  <c r="AZ12" i="1" s="1"/>
  <c r="E4" i="1"/>
  <c r="C4" i="1"/>
  <c r="AY12" i="1" s="1"/>
  <c r="E5" i="1" l="1"/>
  <c r="AY16" i="1" s="1"/>
  <c r="AY13" i="1"/>
  <c r="U19" i="1"/>
  <c r="AX12" i="1" s="1"/>
  <c r="Q5" i="1"/>
  <c r="U20" i="1"/>
  <c r="AX13" i="1" s="1"/>
  <c r="O13" i="1"/>
  <c r="N13" i="1"/>
  <c r="M13" i="1"/>
  <c r="B14" i="1"/>
  <c r="S4" i="1"/>
  <c r="AZ11" i="1" s="1"/>
  <c r="U4" i="1"/>
  <c r="AZ18" i="1" s="1"/>
  <c r="G4" i="1"/>
  <c r="AY11" i="1" s="1"/>
  <c r="C5" i="1"/>
  <c r="AY15" i="1" s="1"/>
  <c r="O5" i="1"/>
  <c r="AZ15" i="1" s="1"/>
  <c r="I4" i="1"/>
  <c r="G5" i="1" l="1"/>
  <c r="AY14" i="1" s="1"/>
  <c r="U23" i="1"/>
  <c r="AX16" i="1" s="1"/>
  <c r="AZ16" i="1"/>
  <c r="I5" i="1"/>
  <c r="H14" i="1" s="1"/>
  <c r="AY18" i="1"/>
  <c r="S5" i="1"/>
  <c r="U22" i="1"/>
  <c r="AX15" i="1" s="1"/>
  <c r="U5" i="1"/>
  <c r="I12" i="1" s="1"/>
  <c r="U25" i="1"/>
  <c r="AX18" i="1" s="1"/>
  <c r="U12" i="1"/>
  <c r="U18" i="1"/>
  <c r="AX11" i="1" s="1"/>
  <c r="D9" i="1"/>
  <c r="U9" i="1"/>
  <c r="B15" i="1"/>
  <c r="N14" i="1"/>
  <c r="M14" i="1"/>
  <c r="P14" i="1"/>
  <c r="O14" i="1"/>
  <c r="D13" i="1"/>
  <c r="D10" i="1"/>
  <c r="D15" i="1"/>
  <c r="D11" i="1"/>
  <c r="D12" i="1"/>
  <c r="D14" i="1"/>
  <c r="F11" i="1"/>
  <c r="F13" i="1"/>
  <c r="F15" i="1"/>
  <c r="F12" i="1"/>
  <c r="F9" i="1"/>
  <c r="F10" i="1"/>
  <c r="F14" i="1"/>
  <c r="H10" i="1" l="1"/>
  <c r="H9" i="1"/>
  <c r="E13" i="1"/>
  <c r="E11" i="1"/>
  <c r="E12" i="1"/>
  <c r="H15" i="1"/>
  <c r="E14" i="1"/>
  <c r="E10" i="1"/>
  <c r="E9" i="1"/>
  <c r="V9" i="1"/>
  <c r="W4" i="1"/>
  <c r="AY19" i="1" s="1"/>
  <c r="Z4" i="1"/>
  <c r="H12" i="1"/>
  <c r="E15" i="1"/>
  <c r="H13" i="1"/>
  <c r="H11" i="1"/>
  <c r="AB4" i="1"/>
  <c r="U11" i="1" s="1"/>
  <c r="AY17" i="1"/>
  <c r="H8" i="1"/>
  <c r="U21" i="1"/>
  <c r="AX14" i="1" s="1"/>
  <c r="AZ14" i="1"/>
  <c r="I9" i="1"/>
  <c r="G10" i="1"/>
  <c r="W5" i="1"/>
  <c r="V12" i="1"/>
  <c r="G15" i="1"/>
  <c r="G9" i="1"/>
  <c r="G12" i="1"/>
  <c r="I8" i="1"/>
  <c r="I15" i="1"/>
  <c r="I13" i="1"/>
  <c r="G11" i="1"/>
  <c r="Z5" i="1"/>
  <c r="G13" i="1"/>
  <c r="G14" i="1"/>
  <c r="I14" i="1"/>
  <c r="I16" i="1"/>
  <c r="I11" i="1"/>
  <c r="I10" i="1"/>
  <c r="B16" i="1"/>
  <c r="E16" i="1"/>
  <c r="D16" i="1"/>
  <c r="G16" i="1"/>
  <c r="H16" i="1"/>
  <c r="F16" i="1"/>
  <c r="P15" i="1"/>
  <c r="O15" i="1"/>
  <c r="N15" i="1"/>
  <c r="M15" i="1"/>
  <c r="Q10" i="1"/>
  <c r="Q14" i="1"/>
  <c r="Q11" i="1" l="1"/>
  <c r="Q9" i="1"/>
  <c r="Q13" i="1"/>
  <c r="Q12" i="1"/>
  <c r="V10" i="1"/>
  <c r="AB5" i="1"/>
  <c r="V13" i="1" s="1"/>
  <c r="AZ17" i="1"/>
  <c r="R9" i="1"/>
  <c r="AZ19" i="1"/>
  <c r="U26" i="1"/>
  <c r="AX19" i="1" s="1"/>
  <c r="R13" i="1"/>
  <c r="R11" i="1"/>
  <c r="R14" i="1"/>
  <c r="R12" i="1"/>
  <c r="R10" i="1"/>
  <c r="U24" i="1"/>
  <c r="AX17" i="1" s="1"/>
  <c r="Q15" i="1"/>
  <c r="R15" i="1"/>
  <c r="N16" i="1"/>
  <c r="M16" i="1"/>
  <c r="P16" i="1"/>
  <c r="O16" i="1"/>
  <c r="E17" i="1"/>
  <c r="B17" i="1"/>
  <c r="H17" i="1"/>
  <c r="F17" i="1"/>
  <c r="G17" i="1"/>
  <c r="D17" i="1"/>
  <c r="I17" i="1"/>
  <c r="U14" i="1" l="1"/>
  <c r="Q16" i="1"/>
  <c r="R16" i="1"/>
  <c r="N17" i="1"/>
  <c r="M17" i="1"/>
  <c r="B18" i="1"/>
  <c r="E18" i="1"/>
  <c r="D18" i="1"/>
  <c r="H18" i="1"/>
  <c r="G18" i="1"/>
  <c r="I18" i="1"/>
  <c r="F18" i="1"/>
  <c r="P17" i="1"/>
  <c r="O17" i="1"/>
  <c r="Q17" i="1" l="1"/>
  <c r="R17" i="1"/>
  <c r="N18" i="1"/>
  <c r="M18" i="1"/>
  <c r="Q18" i="1" s="1"/>
  <c r="E19" i="1"/>
  <c r="B19" i="1"/>
  <c r="D19" i="1"/>
  <c r="G19" i="1"/>
  <c r="H19" i="1"/>
  <c r="I19" i="1"/>
  <c r="F19" i="1"/>
  <c r="P18" i="1"/>
  <c r="O18" i="1"/>
  <c r="R18" i="1" l="1"/>
  <c r="P19" i="1"/>
  <c r="O19" i="1"/>
  <c r="B20" i="1"/>
  <c r="E20" i="1"/>
  <c r="I20" i="1"/>
  <c r="G20" i="1"/>
  <c r="H20" i="1"/>
  <c r="D20" i="1"/>
  <c r="F20" i="1"/>
  <c r="N19" i="1"/>
  <c r="M19" i="1"/>
  <c r="Q19" i="1" l="1"/>
  <c r="R19" i="1"/>
  <c r="O20" i="1"/>
  <c r="E21" i="1"/>
  <c r="B21" i="1"/>
  <c r="D21" i="1"/>
  <c r="G21" i="1"/>
  <c r="F21" i="1"/>
  <c r="I21" i="1"/>
  <c r="H21" i="1"/>
  <c r="N20" i="1"/>
  <c r="M20" i="1"/>
  <c r="Q20" i="1" l="1"/>
  <c r="R20" i="1"/>
  <c r="O21" i="1"/>
  <c r="N21" i="1"/>
  <c r="M21" i="1"/>
  <c r="E22" i="1"/>
  <c r="B22" i="1"/>
  <c r="I22" i="1"/>
  <c r="D22" i="1"/>
  <c r="H22" i="1"/>
  <c r="G22" i="1"/>
  <c r="F22" i="1"/>
  <c r="Q21" i="1" l="1"/>
  <c r="R21" i="1"/>
  <c r="O22" i="1"/>
  <c r="N22" i="1"/>
  <c r="M22" i="1"/>
  <c r="E23" i="1"/>
  <c r="B23" i="1"/>
  <c r="I23" i="1"/>
  <c r="H23" i="1"/>
  <c r="F23" i="1"/>
  <c r="D23" i="1"/>
  <c r="G23" i="1"/>
  <c r="Q22" i="1" l="1"/>
  <c r="R22" i="1"/>
  <c r="B24" i="1"/>
  <c r="E24" i="1"/>
  <c r="G24" i="1"/>
  <c r="F24" i="1"/>
  <c r="H24" i="1"/>
  <c r="I24" i="1"/>
  <c r="D24" i="1"/>
  <c r="P23" i="1"/>
  <c r="O23" i="1"/>
  <c r="N23" i="1"/>
  <c r="M23" i="1"/>
  <c r="Q23" i="1" l="1"/>
  <c r="R23" i="1"/>
  <c r="N24" i="1"/>
  <c r="M24" i="1"/>
  <c r="P24" i="1"/>
  <c r="O24" i="1"/>
  <c r="E25" i="1"/>
  <c r="B25" i="1"/>
  <c r="F25" i="1"/>
  <c r="D25" i="1"/>
  <c r="I25" i="1"/>
  <c r="H25" i="1"/>
  <c r="G25" i="1"/>
  <c r="Q24" i="1" l="1"/>
  <c r="R24" i="1"/>
  <c r="N25" i="1"/>
  <c r="M25" i="1"/>
  <c r="B26" i="1"/>
  <c r="E26" i="1"/>
  <c r="H26" i="1"/>
  <c r="D26" i="1"/>
  <c r="I26" i="1"/>
  <c r="F26" i="1"/>
  <c r="G26" i="1"/>
  <c r="P25" i="1"/>
  <c r="O25" i="1"/>
  <c r="Q25" i="1" l="1"/>
  <c r="R25" i="1"/>
  <c r="N26" i="1"/>
  <c r="M26" i="1"/>
  <c r="E27" i="1"/>
  <c r="B27" i="1"/>
  <c r="G27" i="1"/>
  <c r="D27" i="1"/>
  <c r="H27" i="1"/>
  <c r="F27" i="1"/>
  <c r="I27" i="1"/>
  <c r="P26" i="1"/>
  <c r="O26" i="1"/>
  <c r="Q26" i="1" l="1"/>
  <c r="R26" i="1"/>
  <c r="O27" i="1"/>
  <c r="N27" i="1"/>
  <c r="M27" i="1"/>
  <c r="B28" i="1"/>
  <c r="E28" i="1"/>
  <c r="H28" i="1"/>
  <c r="D28" i="1"/>
  <c r="I28" i="1"/>
  <c r="G28" i="1"/>
  <c r="F28" i="1"/>
  <c r="Q27" i="1" l="1"/>
  <c r="R27" i="1"/>
  <c r="N28" i="1"/>
  <c r="M28" i="1"/>
  <c r="P28" i="1"/>
  <c r="O28" i="1"/>
  <c r="E29" i="1"/>
  <c r="B29" i="1"/>
  <c r="I29" i="1"/>
  <c r="F29" i="1"/>
  <c r="D29" i="1"/>
  <c r="H29" i="1"/>
  <c r="G29" i="1"/>
  <c r="Q28" i="1" l="1"/>
  <c r="R28" i="1"/>
  <c r="E30" i="1"/>
  <c r="B30" i="1"/>
  <c r="H30" i="1"/>
  <c r="D30" i="1"/>
  <c r="I30" i="1"/>
  <c r="G30" i="1"/>
  <c r="F30" i="1"/>
  <c r="N29" i="1"/>
  <c r="M29" i="1"/>
  <c r="P29" i="1"/>
  <c r="O29" i="1"/>
  <c r="Q29" i="1" l="1"/>
  <c r="R29" i="1"/>
  <c r="N30" i="1"/>
  <c r="M30" i="1"/>
  <c r="P30" i="1"/>
  <c r="O30" i="1"/>
  <c r="E31" i="1"/>
  <c r="B31" i="1"/>
  <c r="H31" i="1"/>
  <c r="G31" i="1"/>
  <c r="D31" i="1"/>
  <c r="I31" i="1"/>
  <c r="F31" i="1"/>
  <c r="Q30" i="1" l="1"/>
  <c r="R30" i="1"/>
  <c r="N31" i="1"/>
  <c r="M31" i="1"/>
  <c r="B32" i="1"/>
  <c r="E32" i="1"/>
  <c r="G32" i="1"/>
  <c r="I32" i="1"/>
  <c r="D32" i="1"/>
  <c r="H32" i="1"/>
  <c r="F32" i="1"/>
  <c r="P31" i="1"/>
  <c r="O31" i="1"/>
  <c r="Q31" i="1" l="1"/>
  <c r="R31" i="1"/>
  <c r="P32" i="1"/>
  <c r="O32" i="1"/>
  <c r="E33" i="1"/>
  <c r="B33" i="1"/>
  <c r="H33" i="1"/>
  <c r="G33" i="1"/>
  <c r="D33" i="1"/>
  <c r="I33" i="1"/>
  <c r="F33" i="1"/>
  <c r="N32" i="1"/>
  <c r="M32" i="1"/>
  <c r="Q32" i="1" l="1"/>
  <c r="R32" i="1"/>
  <c r="P33" i="1"/>
  <c r="O33" i="1"/>
  <c r="N33" i="1"/>
  <c r="M33" i="1"/>
  <c r="B34" i="1"/>
  <c r="E34" i="1"/>
  <c r="F34" i="1"/>
  <c r="D34" i="1"/>
  <c r="H34" i="1"/>
  <c r="I34" i="1"/>
  <c r="G34" i="1"/>
  <c r="Q33" i="1" l="1"/>
  <c r="R33" i="1"/>
  <c r="P34" i="1"/>
  <c r="O34" i="1"/>
  <c r="N34" i="1"/>
  <c r="M34" i="1"/>
  <c r="E35" i="1"/>
  <c r="B35" i="1"/>
  <c r="I35" i="1"/>
  <c r="F35" i="1"/>
  <c r="G35" i="1"/>
  <c r="D35" i="1"/>
  <c r="H35" i="1"/>
  <c r="Q34" i="1" l="1"/>
  <c r="R34" i="1"/>
  <c r="N35" i="1"/>
  <c r="M35" i="1"/>
  <c r="B36" i="1"/>
  <c r="E36" i="1"/>
  <c r="D36" i="1"/>
  <c r="I36" i="1"/>
  <c r="G36" i="1"/>
  <c r="F36" i="1"/>
  <c r="H36" i="1"/>
  <c r="P35" i="1"/>
  <c r="O35" i="1"/>
  <c r="Q35" i="1" l="1"/>
  <c r="R35" i="1"/>
  <c r="P36" i="1"/>
  <c r="O36" i="1"/>
  <c r="E37" i="1"/>
  <c r="B37" i="1"/>
  <c r="D37" i="1"/>
  <c r="H37" i="1"/>
  <c r="I37" i="1"/>
  <c r="G37" i="1"/>
  <c r="F37" i="1"/>
  <c r="N36" i="1"/>
  <c r="M36" i="1"/>
  <c r="Q36" i="1" l="1"/>
  <c r="R36" i="1"/>
  <c r="P37" i="1"/>
  <c r="O37" i="1"/>
  <c r="N37" i="1"/>
  <c r="M37" i="1"/>
  <c r="E38" i="1"/>
  <c r="B38" i="1"/>
  <c r="D38" i="1"/>
  <c r="I38" i="1"/>
  <c r="H38" i="1"/>
  <c r="G38" i="1"/>
  <c r="F38" i="1"/>
  <c r="Q37" i="1" l="1"/>
  <c r="R37" i="1"/>
  <c r="N38" i="1"/>
  <c r="M38" i="1"/>
  <c r="P38" i="1"/>
  <c r="O38" i="1"/>
  <c r="E39" i="1"/>
  <c r="B39" i="1"/>
  <c r="D39" i="1"/>
  <c r="H39" i="1"/>
  <c r="I39" i="1"/>
  <c r="G39" i="1"/>
  <c r="F39" i="1"/>
  <c r="Q38" i="1" l="1"/>
  <c r="R38" i="1"/>
  <c r="N39" i="1"/>
  <c r="M39" i="1"/>
  <c r="B40" i="1"/>
  <c r="E40" i="1"/>
  <c r="D40" i="1"/>
  <c r="G40" i="1"/>
  <c r="H40" i="1"/>
  <c r="I40" i="1"/>
  <c r="F40" i="1"/>
  <c r="P39" i="1"/>
  <c r="O39" i="1"/>
  <c r="Q39" i="1" l="1"/>
  <c r="R39" i="1"/>
  <c r="P40" i="1"/>
  <c r="O40" i="1"/>
  <c r="E41" i="1"/>
  <c r="B41" i="1"/>
  <c r="H41" i="1"/>
  <c r="G41" i="1"/>
  <c r="D41" i="1"/>
  <c r="I41" i="1"/>
  <c r="F41" i="1"/>
  <c r="N40" i="1"/>
  <c r="M40" i="1"/>
  <c r="Q40" i="1" l="1"/>
  <c r="R40" i="1"/>
  <c r="P41" i="1"/>
  <c r="O41" i="1"/>
  <c r="N41" i="1"/>
  <c r="M41" i="1"/>
  <c r="B42" i="1"/>
  <c r="E42" i="1"/>
  <c r="F42" i="1"/>
  <c r="D42" i="1"/>
  <c r="I42" i="1"/>
  <c r="H42" i="1"/>
  <c r="G42" i="1"/>
  <c r="Q41" i="1" l="1"/>
  <c r="R41" i="1"/>
  <c r="P42" i="1"/>
  <c r="O42" i="1"/>
  <c r="N42" i="1"/>
  <c r="M42" i="1"/>
  <c r="E43" i="1"/>
  <c r="B43" i="1"/>
  <c r="G43" i="1"/>
  <c r="I43" i="1"/>
  <c r="F43" i="1"/>
  <c r="D43" i="1"/>
  <c r="H43" i="1"/>
  <c r="Q42" i="1" l="1"/>
  <c r="R42" i="1"/>
  <c r="N43" i="1"/>
  <c r="M43" i="1"/>
  <c r="B44" i="1"/>
  <c r="E44" i="1"/>
  <c r="H44" i="1"/>
  <c r="F44" i="1"/>
  <c r="I44" i="1"/>
  <c r="G44" i="1"/>
  <c r="D44" i="1"/>
  <c r="P43" i="1"/>
  <c r="O43" i="1"/>
  <c r="Q43" i="1" l="1"/>
  <c r="R43" i="1"/>
  <c r="P44" i="1"/>
  <c r="O44" i="1"/>
  <c r="E45" i="1"/>
  <c r="B45" i="1"/>
  <c r="I45" i="1"/>
  <c r="G45" i="1"/>
  <c r="D45" i="1"/>
  <c r="H45" i="1"/>
  <c r="F45" i="1"/>
  <c r="N44" i="1"/>
  <c r="M44" i="1"/>
  <c r="Q44" i="1" l="1"/>
  <c r="R44" i="1"/>
  <c r="P45" i="1"/>
  <c r="O45" i="1"/>
  <c r="N45" i="1"/>
  <c r="M45" i="1"/>
  <c r="E46" i="1"/>
  <c r="B46" i="1"/>
  <c r="H46" i="1"/>
  <c r="I46" i="1"/>
  <c r="G46" i="1"/>
  <c r="F46" i="1"/>
  <c r="D46" i="1"/>
  <c r="Q45" i="1" l="1"/>
  <c r="R45" i="1"/>
  <c r="N46" i="1"/>
  <c r="M46" i="1"/>
  <c r="P46" i="1"/>
  <c r="O46" i="1"/>
  <c r="E47" i="1"/>
  <c r="B47" i="1"/>
  <c r="H47" i="1"/>
  <c r="G47" i="1"/>
  <c r="D47" i="1"/>
  <c r="F47" i="1"/>
  <c r="I47" i="1"/>
  <c r="Q46" i="1" l="1"/>
  <c r="R46" i="1"/>
  <c r="N47" i="1"/>
  <c r="M47" i="1"/>
  <c r="P47" i="1"/>
  <c r="O47" i="1"/>
  <c r="B48" i="1"/>
  <c r="E48" i="1"/>
  <c r="H48" i="1"/>
  <c r="G48" i="1"/>
  <c r="D48" i="1"/>
  <c r="F48" i="1"/>
  <c r="I48" i="1"/>
  <c r="Q47" i="1" l="1"/>
  <c r="R47" i="1"/>
  <c r="P48" i="1"/>
  <c r="O48" i="1"/>
  <c r="N48" i="1"/>
  <c r="M48" i="1"/>
  <c r="E49" i="1"/>
  <c r="B49" i="1"/>
  <c r="G49" i="1"/>
  <c r="H49" i="1"/>
  <c r="F49" i="1"/>
  <c r="D49" i="1"/>
  <c r="I49" i="1"/>
  <c r="Q48" i="1" l="1"/>
  <c r="R48" i="1"/>
  <c r="P49" i="1"/>
  <c r="O49" i="1"/>
  <c r="N49" i="1"/>
  <c r="M49" i="1"/>
  <c r="B50" i="1"/>
  <c r="E50" i="1"/>
  <c r="D50" i="1"/>
  <c r="I50" i="1"/>
  <c r="F50" i="1"/>
  <c r="H50" i="1"/>
  <c r="G50" i="1"/>
  <c r="Q49" i="1" l="1"/>
  <c r="R49" i="1"/>
  <c r="N50" i="1"/>
  <c r="M50" i="1"/>
  <c r="P50" i="1"/>
  <c r="O50" i="1"/>
  <c r="E51" i="1"/>
  <c r="B51" i="1"/>
  <c r="F51" i="1"/>
  <c r="D51" i="1"/>
  <c r="H51" i="1"/>
  <c r="G51" i="1"/>
  <c r="I51" i="1"/>
  <c r="Q50" i="1" l="1"/>
  <c r="R50" i="1"/>
  <c r="N51" i="1"/>
  <c r="M51" i="1"/>
  <c r="P51" i="1"/>
  <c r="O51" i="1"/>
  <c r="B52" i="1"/>
  <c r="E52" i="1"/>
  <c r="I52" i="1"/>
  <c r="G52" i="1"/>
  <c r="F52" i="1"/>
  <c r="H52" i="1"/>
  <c r="D52" i="1"/>
  <c r="Q51" i="1" l="1"/>
  <c r="R51" i="1"/>
  <c r="N52" i="1"/>
  <c r="M52" i="1"/>
  <c r="P52" i="1"/>
  <c r="O52" i="1"/>
  <c r="E53" i="1"/>
  <c r="B53" i="1"/>
  <c r="D53" i="1"/>
  <c r="I53" i="1"/>
  <c r="G53" i="1"/>
  <c r="H53" i="1"/>
  <c r="F53" i="1"/>
  <c r="Q52" i="1" l="1"/>
  <c r="R52" i="1"/>
  <c r="N53" i="1"/>
  <c r="M53" i="1"/>
  <c r="E54" i="1"/>
  <c r="B54" i="1"/>
  <c r="H54" i="1"/>
  <c r="D54" i="1"/>
  <c r="I54" i="1"/>
  <c r="G54" i="1"/>
  <c r="F54" i="1"/>
  <c r="P53" i="1"/>
  <c r="O53" i="1"/>
  <c r="Q53" i="1" l="1"/>
  <c r="R53" i="1"/>
  <c r="E55" i="1"/>
  <c r="B55" i="1"/>
  <c r="H55" i="1"/>
  <c r="I55" i="1"/>
  <c r="F55" i="1"/>
  <c r="D55" i="1"/>
  <c r="G55" i="1"/>
  <c r="P54" i="1"/>
  <c r="O54" i="1"/>
  <c r="N54" i="1"/>
  <c r="M54" i="1"/>
  <c r="Q54" i="1" l="1"/>
  <c r="R54" i="1"/>
  <c r="N55" i="1"/>
  <c r="M55" i="1"/>
  <c r="B56" i="1"/>
  <c r="E56" i="1"/>
  <c r="G56" i="1"/>
  <c r="H56" i="1"/>
  <c r="D56" i="1"/>
  <c r="I56" i="1"/>
  <c r="F56" i="1"/>
  <c r="P55" i="1"/>
  <c r="O55" i="1"/>
  <c r="Q55" i="1" l="1"/>
  <c r="R55" i="1"/>
  <c r="N56" i="1"/>
  <c r="M56" i="1"/>
  <c r="E57" i="1"/>
  <c r="B57" i="1"/>
  <c r="H57" i="1"/>
  <c r="G57" i="1"/>
  <c r="D57" i="1"/>
  <c r="I57" i="1"/>
  <c r="F57" i="1"/>
  <c r="P56" i="1"/>
  <c r="O56" i="1"/>
  <c r="Q56" i="1" l="1"/>
  <c r="R56" i="1"/>
  <c r="P57" i="1"/>
  <c r="O57" i="1"/>
  <c r="N57" i="1"/>
  <c r="M57" i="1"/>
  <c r="B58" i="1"/>
  <c r="E58" i="1"/>
  <c r="D58" i="1"/>
  <c r="F58" i="1"/>
  <c r="H58" i="1"/>
  <c r="I58" i="1"/>
  <c r="G58" i="1"/>
  <c r="Q57" i="1" l="1"/>
  <c r="R57" i="1"/>
  <c r="P58" i="1"/>
  <c r="O58" i="1"/>
  <c r="N58" i="1"/>
  <c r="M58" i="1"/>
  <c r="E59" i="1"/>
  <c r="B59" i="1"/>
  <c r="D59" i="1"/>
  <c r="I59" i="1"/>
  <c r="F59" i="1"/>
  <c r="G59" i="1"/>
  <c r="H59" i="1"/>
  <c r="Q58" i="1" l="1"/>
  <c r="R58" i="1"/>
  <c r="N59" i="1"/>
  <c r="M59" i="1"/>
  <c r="B60" i="1"/>
  <c r="E60" i="1"/>
  <c r="D60" i="1"/>
  <c r="F60" i="1"/>
  <c r="I60" i="1"/>
  <c r="G60" i="1"/>
  <c r="H60" i="1"/>
  <c r="P59" i="1"/>
  <c r="O59" i="1"/>
  <c r="Q59" i="1" l="1"/>
  <c r="R59" i="1"/>
  <c r="P60" i="1"/>
  <c r="O60" i="1"/>
  <c r="E61" i="1"/>
  <c r="B61" i="1"/>
  <c r="I61" i="1"/>
  <c r="D61" i="1"/>
  <c r="G61" i="1"/>
  <c r="F61" i="1"/>
  <c r="H61" i="1"/>
  <c r="N60" i="1"/>
  <c r="M60" i="1"/>
  <c r="Q60" i="1" l="1"/>
  <c r="R60" i="1"/>
  <c r="P61" i="1"/>
  <c r="O61" i="1"/>
  <c r="N61" i="1"/>
  <c r="M61" i="1"/>
  <c r="E62" i="1"/>
  <c r="B62" i="1"/>
  <c r="D62" i="1"/>
  <c r="I62" i="1"/>
  <c r="G62" i="1"/>
  <c r="F62" i="1"/>
  <c r="H62" i="1"/>
  <c r="Q61" i="1" l="1"/>
  <c r="R61" i="1"/>
  <c r="N62" i="1"/>
  <c r="M62" i="1"/>
  <c r="P62" i="1"/>
  <c r="O62" i="1"/>
  <c r="E63" i="1"/>
  <c r="B63" i="1"/>
  <c r="G63" i="1"/>
  <c r="H63" i="1"/>
  <c r="I63" i="1"/>
  <c r="F63" i="1"/>
  <c r="D63" i="1"/>
  <c r="Q62" i="1" l="1"/>
  <c r="R62" i="1"/>
  <c r="N63" i="1"/>
  <c r="M63" i="1"/>
  <c r="B64" i="1"/>
  <c r="E64" i="1"/>
  <c r="H64" i="1"/>
  <c r="G64" i="1"/>
  <c r="D64" i="1"/>
  <c r="I64" i="1"/>
  <c r="F64" i="1"/>
  <c r="P63" i="1"/>
  <c r="O63" i="1"/>
  <c r="Q63" i="1" l="1"/>
  <c r="R63" i="1"/>
  <c r="N64" i="1"/>
  <c r="M64" i="1"/>
  <c r="E65" i="1"/>
  <c r="B65" i="1"/>
  <c r="H65" i="1"/>
  <c r="F65" i="1"/>
  <c r="D65" i="1"/>
  <c r="I65" i="1"/>
  <c r="G65" i="1"/>
  <c r="P64" i="1"/>
  <c r="O64" i="1"/>
  <c r="Q64" i="1" l="1"/>
  <c r="R64" i="1"/>
  <c r="B66" i="1"/>
  <c r="E66" i="1"/>
  <c r="H66" i="1"/>
  <c r="I66" i="1"/>
  <c r="F66" i="1"/>
  <c r="G66" i="1"/>
  <c r="D66" i="1"/>
  <c r="N65" i="1"/>
  <c r="M65" i="1"/>
  <c r="P65" i="1"/>
  <c r="O65" i="1"/>
  <c r="Q65" i="1" l="1"/>
  <c r="R65" i="1"/>
  <c r="P66" i="1"/>
  <c r="O66" i="1"/>
  <c r="N66" i="1"/>
  <c r="M66" i="1"/>
  <c r="E67" i="1"/>
  <c r="B67" i="1"/>
  <c r="G67" i="1"/>
  <c r="F67" i="1"/>
  <c r="H67" i="1"/>
  <c r="I67" i="1"/>
  <c r="D67" i="1"/>
  <c r="Q66" i="1" l="1"/>
  <c r="R66" i="1"/>
  <c r="N67" i="1"/>
  <c r="M67" i="1"/>
  <c r="B68" i="1"/>
  <c r="E68" i="1"/>
  <c r="I68" i="1"/>
  <c r="D68" i="1"/>
  <c r="G68" i="1"/>
  <c r="F68" i="1"/>
  <c r="H68" i="1"/>
  <c r="P67" i="1"/>
  <c r="O67" i="1"/>
  <c r="Q67" i="1" l="1"/>
  <c r="R67" i="1"/>
  <c r="E69" i="1"/>
  <c r="B69" i="1"/>
  <c r="D69" i="1"/>
  <c r="H69" i="1"/>
  <c r="I69" i="1"/>
  <c r="G69" i="1"/>
  <c r="F69" i="1"/>
  <c r="N68" i="1"/>
  <c r="M68" i="1"/>
  <c r="P68" i="1"/>
  <c r="O68" i="1"/>
  <c r="Q68" i="1" l="1"/>
  <c r="R68" i="1"/>
  <c r="N69" i="1"/>
  <c r="M69" i="1"/>
  <c r="E70" i="1"/>
  <c r="B70" i="1"/>
  <c r="D70" i="1"/>
  <c r="H70" i="1"/>
  <c r="I70" i="1"/>
  <c r="G70" i="1"/>
  <c r="F70" i="1"/>
  <c r="P69" i="1"/>
  <c r="O69" i="1"/>
  <c r="Q69" i="1" l="1"/>
  <c r="R69" i="1"/>
  <c r="E71" i="1"/>
  <c r="B71" i="1"/>
  <c r="I71" i="1"/>
  <c r="D71" i="1"/>
  <c r="H71" i="1"/>
  <c r="G71" i="1"/>
  <c r="F71" i="1"/>
  <c r="P70" i="1"/>
  <c r="O70" i="1"/>
  <c r="N70" i="1"/>
  <c r="M70" i="1"/>
  <c r="Q70" i="1" l="1"/>
  <c r="R70" i="1"/>
  <c r="N71" i="1"/>
  <c r="M71" i="1"/>
  <c r="B72" i="1"/>
  <c r="E72" i="1"/>
  <c r="G72" i="1"/>
  <c r="D72" i="1"/>
  <c r="H72" i="1"/>
  <c r="I72" i="1"/>
  <c r="F72" i="1"/>
  <c r="P71" i="1"/>
  <c r="O71" i="1"/>
  <c r="Q71" i="1" l="1"/>
  <c r="R71" i="1"/>
  <c r="E73" i="1"/>
  <c r="B73" i="1"/>
  <c r="G73" i="1"/>
  <c r="H73" i="1"/>
  <c r="D73" i="1"/>
  <c r="I73" i="1"/>
  <c r="F73" i="1"/>
  <c r="N72" i="1"/>
  <c r="M72" i="1"/>
  <c r="P72" i="1"/>
  <c r="O72" i="1"/>
  <c r="Q72" i="1" l="1"/>
  <c r="R72" i="1"/>
  <c r="N73" i="1"/>
  <c r="M73" i="1"/>
  <c r="P73" i="1"/>
  <c r="O73" i="1"/>
  <c r="B74" i="1"/>
  <c r="E74" i="1"/>
  <c r="F74" i="1"/>
  <c r="D74" i="1"/>
  <c r="H74" i="1"/>
  <c r="G74" i="1"/>
  <c r="I74" i="1"/>
  <c r="Q73" i="1" l="1"/>
  <c r="R73" i="1"/>
  <c r="P74" i="1"/>
  <c r="O74" i="1"/>
  <c r="N74" i="1"/>
  <c r="M74" i="1"/>
  <c r="E75" i="1"/>
  <c r="B75" i="1"/>
  <c r="H75" i="1"/>
  <c r="I75" i="1"/>
  <c r="F75" i="1"/>
  <c r="G75" i="1"/>
  <c r="D75" i="1"/>
  <c r="Q74" i="1" l="1"/>
  <c r="R74" i="1"/>
  <c r="N75" i="1"/>
  <c r="M75" i="1"/>
  <c r="B76" i="1"/>
  <c r="E76" i="1"/>
  <c r="F76" i="1"/>
  <c r="I76" i="1"/>
  <c r="G76" i="1"/>
  <c r="D76" i="1"/>
  <c r="H76" i="1"/>
  <c r="P75" i="1"/>
  <c r="O75" i="1"/>
  <c r="Q75" i="1" l="1"/>
  <c r="R75" i="1"/>
  <c r="N76" i="1"/>
  <c r="M76" i="1"/>
  <c r="E77" i="1"/>
  <c r="B77" i="1"/>
  <c r="I77" i="1"/>
  <c r="G77" i="1"/>
  <c r="D77" i="1"/>
  <c r="H77" i="1"/>
  <c r="F77" i="1"/>
  <c r="P76" i="1"/>
  <c r="O76" i="1"/>
  <c r="Q76" i="1" l="1"/>
  <c r="R76" i="1"/>
  <c r="P77" i="1"/>
  <c r="O77" i="1"/>
  <c r="N77" i="1"/>
  <c r="M77" i="1"/>
  <c r="E78" i="1"/>
  <c r="B78" i="1"/>
  <c r="H78" i="1"/>
  <c r="I78" i="1"/>
  <c r="G78" i="1"/>
  <c r="F78" i="1"/>
  <c r="D78" i="1"/>
  <c r="Q77" i="1" l="1"/>
  <c r="R77" i="1"/>
  <c r="P78" i="1"/>
  <c r="O78" i="1"/>
  <c r="N78" i="1"/>
  <c r="M78" i="1"/>
  <c r="E79" i="1"/>
  <c r="B79" i="1"/>
  <c r="D79" i="1"/>
  <c r="G79" i="1"/>
  <c r="H79" i="1"/>
  <c r="F79" i="1"/>
  <c r="I79" i="1"/>
  <c r="Q78" i="1" l="1"/>
  <c r="R78" i="1"/>
  <c r="B80" i="1"/>
  <c r="E80" i="1"/>
  <c r="D80" i="1"/>
  <c r="H80" i="1"/>
  <c r="G80" i="1"/>
  <c r="F80" i="1"/>
  <c r="I80" i="1"/>
  <c r="N79" i="1"/>
  <c r="M79" i="1"/>
  <c r="P79" i="1"/>
  <c r="O79" i="1"/>
  <c r="Q79" i="1" l="1"/>
  <c r="R79" i="1"/>
  <c r="P80" i="1"/>
  <c r="O80" i="1"/>
  <c r="N80" i="1"/>
  <c r="M80" i="1"/>
  <c r="E81" i="1"/>
  <c r="B81" i="1"/>
  <c r="F81" i="1"/>
  <c r="H81" i="1"/>
  <c r="D81" i="1"/>
  <c r="I81" i="1"/>
  <c r="G81" i="1"/>
  <c r="Q80" i="1" l="1"/>
  <c r="R80" i="1"/>
  <c r="N81" i="1"/>
  <c r="M81" i="1"/>
  <c r="P81" i="1"/>
  <c r="O81" i="1"/>
  <c r="B82" i="1"/>
  <c r="E82" i="1"/>
  <c r="D82" i="1"/>
  <c r="I82" i="1"/>
  <c r="F82" i="1"/>
  <c r="G82" i="1"/>
  <c r="H82" i="1"/>
  <c r="Q81" i="1" l="1"/>
  <c r="R81" i="1"/>
  <c r="N82" i="1"/>
  <c r="M82" i="1"/>
  <c r="P82" i="1"/>
  <c r="O82" i="1"/>
  <c r="E83" i="1"/>
  <c r="B83" i="1"/>
  <c r="D83" i="1"/>
  <c r="G83" i="1"/>
  <c r="F83" i="1"/>
  <c r="H83" i="1"/>
  <c r="I83" i="1"/>
  <c r="Q82" i="1" l="1"/>
  <c r="R82" i="1"/>
  <c r="N83" i="1"/>
  <c r="M83" i="1"/>
  <c r="E84" i="1"/>
  <c r="B84" i="1"/>
  <c r="I84" i="1"/>
  <c r="G84" i="1"/>
  <c r="F84" i="1"/>
  <c r="H84" i="1"/>
  <c r="D84" i="1"/>
  <c r="P83" i="1"/>
  <c r="O83" i="1"/>
  <c r="Q83" i="1" l="1"/>
  <c r="R83" i="1"/>
  <c r="E85" i="1"/>
  <c r="B85" i="1"/>
  <c r="D85" i="1"/>
  <c r="I85" i="1"/>
  <c r="H85" i="1"/>
  <c r="G85" i="1"/>
  <c r="F85" i="1"/>
  <c r="N84" i="1"/>
  <c r="M84" i="1"/>
  <c r="P84" i="1"/>
  <c r="O84" i="1"/>
  <c r="Q84" i="1" l="1"/>
  <c r="R84" i="1"/>
  <c r="N85" i="1"/>
  <c r="M85" i="1"/>
  <c r="E86" i="1"/>
  <c r="B86" i="1"/>
  <c r="H86" i="1"/>
  <c r="G86" i="1"/>
  <c r="D86" i="1"/>
  <c r="F86" i="1"/>
  <c r="I86" i="1"/>
  <c r="P85" i="1"/>
  <c r="O85" i="1"/>
  <c r="Q85" i="1" l="1"/>
  <c r="R85" i="1"/>
  <c r="E87" i="1"/>
  <c r="B87" i="1"/>
  <c r="H87" i="1"/>
  <c r="I87" i="1"/>
  <c r="G87" i="1"/>
  <c r="D87" i="1"/>
  <c r="F87" i="1"/>
  <c r="N86" i="1"/>
  <c r="M86" i="1"/>
  <c r="P86" i="1"/>
  <c r="O86" i="1"/>
  <c r="Q86" i="1" l="1"/>
  <c r="R86" i="1"/>
  <c r="E88" i="1"/>
  <c r="B88" i="1"/>
  <c r="G88" i="1"/>
  <c r="H88" i="1"/>
  <c r="I88" i="1"/>
  <c r="D88" i="1"/>
  <c r="F88" i="1"/>
  <c r="N87" i="1"/>
  <c r="M87" i="1"/>
  <c r="P87" i="1"/>
  <c r="O87" i="1"/>
  <c r="Q87" i="1" l="1"/>
  <c r="R87" i="1"/>
  <c r="P88" i="1"/>
  <c r="O88" i="1"/>
  <c r="N88" i="1"/>
  <c r="M88" i="1"/>
  <c r="E89" i="1"/>
  <c r="B89" i="1"/>
  <c r="G89" i="1"/>
  <c r="H89" i="1"/>
  <c r="D89" i="1"/>
  <c r="I89" i="1"/>
  <c r="F89" i="1"/>
  <c r="Q88" i="1" l="1"/>
  <c r="R88" i="1"/>
  <c r="P89" i="1"/>
  <c r="O89" i="1"/>
  <c r="N89" i="1"/>
  <c r="M89" i="1"/>
  <c r="E90" i="1"/>
  <c r="B90" i="1"/>
  <c r="H90" i="1"/>
  <c r="F90" i="1"/>
  <c r="D90" i="1"/>
  <c r="I90" i="1"/>
  <c r="G90" i="1"/>
  <c r="Q89" i="1" l="1"/>
  <c r="R89" i="1"/>
  <c r="P90" i="1"/>
  <c r="O90" i="1"/>
  <c r="N90" i="1"/>
  <c r="M90" i="1"/>
  <c r="E91" i="1"/>
  <c r="B91" i="1"/>
  <c r="I91" i="1"/>
  <c r="G91" i="1"/>
  <c r="D91" i="1"/>
  <c r="F91" i="1"/>
  <c r="H91" i="1"/>
  <c r="Q90" i="1" l="1"/>
  <c r="R90" i="1"/>
  <c r="B92" i="1"/>
  <c r="E92" i="1"/>
  <c r="F92" i="1"/>
  <c r="D92" i="1"/>
  <c r="I92" i="1"/>
  <c r="G92" i="1"/>
  <c r="H92" i="1"/>
  <c r="P91" i="1"/>
  <c r="O91" i="1"/>
  <c r="N91" i="1"/>
  <c r="M91" i="1"/>
  <c r="Q91" i="1" l="1"/>
  <c r="R91" i="1"/>
  <c r="N92" i="1"/>
  <c r="M92" i="1"/>
  <c r="P92" i="1"/>
  <c r="O92" i="1"/>
  <c r="E93" i="1"/>
  <c r="B93" i="1"/>
  <c r="I93" i="1"/>
  <c r="D93" i="1"/>
  <c r="G93" i="1"/>
  <c r="H93" i="1"/>
  <c r="F93" i="1"/>
  <c r="Q92" i="1" l="1"/>
  <c r="R92" i="1"/>
  <c r="E94" i="1"/>
  <c r="B94" i="1"/>
  <c r="D94" i="1"/>
  <c r="I94" i="1"/>
  <c r="G94" i="1"/>
  <c r="F94" i="1"/>
  <c r="H94" i="1"/>
  <c r="P93" i="1"/>
  <c r="O93" i="1"/>
  <c r="N93" i="1"/>
  <c r="M93" i="1"/>
  <c r="Q93" i="1" l="1"/>
  <c r="R93" i="1"/>
  <c r="N94" i="1"/>
  <c r="M94" i="1"/>
  <c r="P94" i="1"/>
  <c r="O94" i="1"/>
  <c r="E95" i="1"/>
  <c r="B95" i="1"/>
  <c r="G95" i="1"/>
  <c r="I95" i="1"/>
  <c r="D95" i="1"/>
  <c r="F95" i="1"/>
  <c r="H95" i="1"/>
  <c r="Q94" i="1" l="1"/>
  <c r="R94" i="1"/>
  <c r="E96" i="1"/>
  <c r="B96" i="1"/>
  <c r="H96" i="1"/>
  <c r="G96" i="1"/>
  <c r="D96" i="1"/>
  <c r="I96" i="1"/>
  <c r="F96" i="1"/>
  <c r="N95" i="1"/>
  <c r="M95" i="1"/>
  <c r="P95" i="1"/>
  <c r="O95" i="1"/>
  <c r="Q95" i="1" l="1"/>
  <c r="R95" i="1"/>
  <c r="N96" i="1"/>
  <c r="M96" i="1"/>
  <c r="P96" i="1"/>
  <c r="O96" i="1"/>
  <c r="E97" i="1"/>
  <c r="B97" i="1"/>
  <c r="H97" i="1"/>
  <c r="G97" i="1"/>
  <c r="D97" i="1"/>
  <c r="I97" i="1"/>
  <c r="F97" i="1"/>
  <c r="Q96" i="1" l="1"/>
  <c r="R96" i="1"/>
  <c r="N97" i="1"/>
  <c r="M97" i="1"/>
  <c r="P97" i="1"/>
  <c r="O97" i="1"/>
  <c r="E98" i="1"/>
  <c r="B98" i="1"/>
  <c r="I98" i="1"/>
  <c r="H98" i="1"/>
  <c r="F98" i="1"/>
  <c r="G98" i="1"/>
  <c r="D98" i="1"/>
  <c r="Q97" i="1" l="1"/>
  <c r="R97" i="1"/>
  <c r="P98" i="1"/>
  <c r="O98" i="1"/>
  <c r="N98" i="1"/>
  <c r="M98" i="1"/>
  <c r="E99" i="1"/>
  <c r="B99" i="1"/>
  <c r="H99" i="1"/>
  <c r="F99" i="1"/>
  <c r="D99" i="1"/>
  <c r="I99" i="1"/>
  <c r="G99" i="1"/>
  <c r="Q98" i="1" l="1"/>
  <c r="R98" i="1"/>
  <c r="N99" i="1"/>
  <c r="M99" i="1"/>
  <c r="P99" i="1"/>
  <c r="O99" i="1"/>
  <c r="E100" i="1"/>
  <c r="B100" i="1"/>
  <c r="D100" i="1"/>
  <c r="I100" i="1"/>
  <c r="G100" i="1"/>
  <c r="F100" i="1"/>
  <c r="H100" i="1"/>
  <c r="Q99" i="1" l="1"/>
  <c r="R99" i="1"/>
  <c r="N100" i="1"/>
  <c r="M100" i="1"/>
  <c r="P100" i="1"/>
  <c r="O100" i="1"/>
  <c r="E101" i="1"/>
  <c r="B101" i="1"/>
  <c r="D101" i="1"/>
  <c r="H101" i="1"/>
  <c r="I101" i="1"/>
  <c r="G101" i="1"/>
  <c r="F101" i="1"/>
  <c r="Q100" i="1" l="1"/>
  <c r="R100" i="1"/>
  <c r="N101" i="1"/>
  <c r="M101" i="1"/>
  <c r="E102" i="1"/>
  <c r="B102" i="1"/>
  <c r="D102" i="1"/>
  <c r="I102" i="1"/>
  <c r="G102" i="1"/>
  <c r="H102" i="1"/>
  <c r="F102" i="1"/>
  <c r="P101" i="1"/>
  <c r="O101" i="1"/>
  <c r="Q101" i="1" l="1"/>
  <c r="R101" i="1"/>
  <c r="E103" i="1"/>
  <c r="B103" i="1"/>
  <c r="D103" i="1"/>
  <c r="I103" i="1"/>
  <c r="H103" i="1"/>
  <c r="G103" i="1"/>
  <c r="F103" i="1"/>
  <c r="P102" i="1"/>
  <c r="O102" i="1"/>
  <c r="N102" i="1"/>
  <c r="M102" i="1"/>
  <c r="Q102" i="1" l="1"/>
  <c r="R102" i="1"/>
  <c r="N103" i="1"/>
  <c r="M103" i="1"/>
  <c r="E104" i="1"/>
  <c r="B104" i="1"/>
  <c r="D104" i="1"/>
  <c r="G104" i="1"/>
  <c r="H104" i="1"/>
  <c r="I104" i="1"/>
  <c r="F104" i="1"/>
  <c r="P103" i="1"/>
  <c r="O103" i="1"/>
  <c r="Q103" i="1" l="1"/>
  <c r="R103" i="1"/>
  <c r="E105" i="1"/>
  <c r="B105" i="1"/>
  <c r="G105" i="1"/>
  <c r="D105" i="1"/>
  <c r="I105" i="1"/>
  <c r="H105" i="1"/>
  <c r="F105" i="1"/>
  <c r="P104" i="1"/>
  <c r="O104" i="1"/>
  <c r="N104" i="1"/>
  <c r="M104" i="1"/>
  <c r="Q104" i="1" l="1"/>
  <c r="R104" i="1"/>
  <c r="N105" i="1"/>
  <c r="M105" i="1"/>
  <c r="P105" i="1"/>
  <c r="O105" i="1"/>
  <c r="E106" i="1"/>
  <c r="B106" i="1"/>
  <c r="F106" i="1"/>
  <c r="H106" i="1"/>
  <c r="I106" i="1"/>
  <c r="D106" i="1"/>
  <c r="G106" i="1"/>
  <c r="Q105" i="1" l="1"/>
  <c r="R105" i="1"/>
  <c r="N106" i="1"/>
  <c r="M106" i="1"/>
  <c r="P106" i="1"/>
  <c r="O106" i="1"/>
  <c r="E107" i="1"/>
  <c r="B107" i="1"/>
  <c r="H107" i="1"/>
  <c r="I107" i="1"/>
  <c r="G107" i="1"/>
  <c r="F107" i="1"/>
  <c r="D107" i="1"/>
  <c r="Q106" i="1" l="1"/>
  <c r="R106" i="1"/>
  <c r="E108" i="1"/>
  <c r="B108" i="1"/>
  <c r="F108" i="1"/>
  <c r="I108" i="1"/>
  <c r="G108" i="1"/>
  <c r="D108" i="1"/>
  <c r="H108" i="1"/>
  <c r="P107" i="1"/>
  <c r="O107" i="1"/>
  <c r="N107" i="1"/>
  <c r="M107" i="1"/>
  <c r="Q107" i="1" l="1"/>
  <c r="R107" i="1"/>
  <c r="P108" i="1"/>
  <c r="O108" i="1"/>
  <c r="N108" i="1"/>
  <c r="M108" i="1"/>
  <c r="B109" i="1"/>
  <c r="E109" i="1"/>
  <c r="H109" i="1"/>
  <c r="I109" i="1"/>
  <c r="G109" i="1"/>
  <c r="D109" i="1"/>
  <c r="F109" i="1"/>
  <c r="Q108" i="1" l="1"/>
  <c r="R108" i="1"/>
  <c r="N109" i="1"/>
  <c r="M109" i="1"/>
  <c r="E110" i="1"/>
  <c r="B110" i="1"/>
  <c r="I110" i="1"/>
  <c r="H110" i="1"/>
  <c r="G110" i="1"/>
  <c r="D110" i="1"/>
  <c r="F110" i="1"/>
  <c r="P109" i="1"/>
  <c r="O109" i="1"/>
  <c r="Q109" i="1" l="1"/>
  <c r="R109" i="1"/>
  <c r="E111" i="1"/>
  <c r="B111" i="1"/>
  <c r="H111" i="1"/>
  <c r="G111" i="1"/>
  <c r="D111" i="1"/>
  <c r="F111" i="1"/>
  <c r="I111" i="1"/>
  <c r="P110" i="1"/>
  <c r="O110" i="1"/>
  <c r="N110" i="1"/>
  <c r="M110" i="1"/>
  <c r="Q110" i="1" l="1"/>
  <c r="R110" i="1"/>
  <c r="N111" i="1"/>
  <c r="M111" i="1"/>
  <c r="E112" i="1"/>
  <c r="B112" i="1"/>
  <c r="H112" i="1"/>
  <c r="G112" i="1"/>
  <c r="D112" i="1"/>
  <c r="F112" i="1"/>
  <c r="I112" i="1"/>
  <c r="P111" i="1"/>
  <c r="O111" i="1"/>
  <c r="Q111" i="1" l="1"/>
  <c r="R111" i="1"/>
  <c r="B113" i="1"/>
  <c r="E113" i="1"/>
  <c r="H113" i="1"/>
  <c r="G113" i="1"/>
  <c r="F113" i="1"/>
  <c r="D113" i="1"/>
  <c r="I113" i="1"/>
  <c r="N112" i="1"/>
  <c r="M112" i="1"/>
  <c r="P112" i="1"/>
  <c r="O112" i="1"/>
  <c r="Q112" i="1" l="1"/>
  <c r="R112" i="1"/>
  <c r="N113" i="1"/>
  <c r="M113" i="1"/>
  <c r="P113" i="1"/>
  <c r="O113" i="1"/>
  <c r="E114" i="1"/>
  <c r="B114" i="1"/>
  <c r="D114" i="1"/>
  <c r="I114" i="1"/>
  <c r="F114" i="1"/>
  <c r="G114" i="1"/>
  <c r="H114" i="1"/>
  <c r="Q113" i="1" l="1"/>
  <c r="R113" i="1"/>
  <c r="N114" i="1"/>
  <c r="M114" i="1"/>
  <c r="P114" i="1"/>
  <c r="O114" i="1"/>
  <c r="E115" i="1"/>
  <c r="B115" i="1"/>
  <c r="F115" i="1"/>
  <c r="D115" i="1"/>
  <c r="H115" i="1"/>
  <c r="I115" i="1"/>
  <c r="G115" i="1"/>
  <c r="Q114" i="1" l="1"/>
  <c r="R114" i="1"/>
  <c r="N115" i="1"/>
  <c r="M115" i="1"/>
  <c r="E116" i="1"/>
  <c r="B116" i="1"/>
  <c r="I116" i="1"/>
  <c r="G116" i="1"/>
  <c r="F116" i="1"/>
  <c r="D116" i="1"/>
  <c r="H116" i="1"/>
  <c r="P115" i="1"/>
  <c r="O115" i="1"/>
  <c r="Q115" i="1" l="1"/>
  <c r="R115" i="1"/>
  <c r="E117" i="1"/>
  <c r="B117" i="1"/>
  <c r="D117" i="1"/>
  <c r="I117" i="1"/>
  <c r="H117" i="1"/>
  <c r="G117" i="1"/>
  <c r="F117" i="1"/>
  <c r="N116" i="1"/>
  <c r="M116" i="1"/>
  <c r="P116" i="1"/>
  <c r="O116" i="1"/>
  <c r="Q116" i="1" l="1"/>
  <c r="R116" i="1"/>
  <c r="N117" i="1"/>
  <c r="M117" i="1"/>
  <c r="E118" i="1"/>
  <c r="B118" i="1"/>
  <c r="H118" i="1"/>
  <c r="I118" i="1"/>
  <c r="D118" i="1"/>
  <c r="G118" i="1"/>
  <c r="F118" i="1"/>
  <c r="P117" i="1"/>
  <c r="O117" i="1"/>
  <c r="Q117" i="1" l="1"/>
  <c r="R117" i="1"/>
  <c r="E119" i="1"/>
  <c r="B119" i="1"/>
  <c r="H119" i="1"/>
  <c r="I119" i="1"/>
  <c r="D119" i="1"/>
  <c r="F119" i="1"/>
  <c r="G119" i="1"/>
  <c r="P118" i="1"/>
  <c r="O118" i="1"/>
  <c r="N118" i="1"/>
  <c r="M118" i="1"/>
  <c r="Q118" i="1" l="1"/>
  <c r="R118" i="1"/>
  <c r="N119" i="1"/>
  <c r="M119" i="1"/>
  <c r="E120" i="1"/>
  <c r="B120" i="1"/>
  <c r="G120" i="1"/>
  <c r="H120" i="1"/>
  <c r="I120" i="1"/>
  <c r="D120" i="1"/>
  <c r="F120" i="1"/>
  <c r="P119" i="1"/>
  <c r="O119" i="1"/>
  <c r="Q119" i="1" l="1"/>
  <c r="R119" i="1"/>
  <c r="B121" i="1"/>
  <c r="E121" i="1"/>
  <c r="H121" i="1"/>
  <c r="G121" i="1"/>
  <c r="D121" i="1"/>
  <c r="I121" i="1"/>
  <c r="F121" i="1"/>
  <c r="N120" i="1"/>
  <c r="M120" i="1"/>
  <c r="P120" i="1"/>
  <c r="O120" i="1"/>
  <c r="Q120" i="1" l="1"/>
  <c r="R120" i="1"/>
  <c r="N121" i="1"/>
  <c r="M121" i="1"/>
  <c r="P121" i="1"/>
  <c r="O121" i="1"/>
  <c r="E122" i="1"/>
  <c r="B122" i="1"/>
  <c r="D122" i="1"/>
  <c r="F122" i="1"/>
  <c r="H122" i="1"/>
  <c r="I122" i="1"/>
  <c r="G122" i="1"/>
  <c r="Q121" i="1" l="1"/>
  <c r="R121" i="1"/>
  <c r="E123" i="1"/>
  <c r="B123" i="1"/>
  <c r="D123" i="1"/>
  <c r="I123" i="1"/>
  <c r="F123" i="1"/>
  <c r="H123" i="1"/>
  <c r="G123" i="1"/>
  <c r="P122" i="1"/>
  <c r="O122" i="1"/>
  <c r="N122" i="1"/>
  <c r="M122" i="1"/>
  <c r="Q122" i="1" l="1"/>
  <c r="R122" i="1"/>
  <c r="N123" i="1"/>
  <c r="M123" i="1"/>
  <c r="E124" i="1"/>
  <c r="B124" i="1"/>
  <c r="D124" i="1"/>
  <c r="F124" i="1"/>
  <c r="I124" i="1"/>
  <c r="G124" i="1"/>
  <c r="H124" i="1"/>
  <c r="P123" i="1"/>
  <c r="O123" i="1"/>
  <c r="Q123" i="1" l="1"/>
  <c r="R123" i="1"/>
  <c r="B125" i="1"/>
  <c r="E125" i="1"/>
  <c r="I125" i="1"/>
  <c r="D125" i="1"/>
  <c r="G125" i="1"/>
  <c r="F125" i="1"/>
  <c r="H125" i="1"/>
  <c r="N124" i="1"/>
  <c r="M124" i="1"/>
  <c r="P124" i="1"/>
  <c r="O124" i="1"/>
  <c r="Q124" i="1" l="1"/>
  <c r="R124" i="1"/>
  <c r="N125" i="1"/>
  <c r="M125" i="1"/>
  <c r="E126" i="1"/>
  <c r="B126" i="1"/>
  <c r="D126" i="1"/>
  <c r="I126" i="1"/>
  <c r="G126" i="1"/>
  <c r="H126" i="1"/>
  <c r="F126" i="1"/>
  <c r="P125" i="1"/>
  <c r="O125" i="1"/>
  <c r="Q125" i="1" l="1"/>
  <c r="R125" i="1"/>
  <c r="E127" i="1"/>
  <c r="B127" i="1"/>
  <c r="G127" i="1"/>
  <c r="D127" i="1"/>
  <c r="H127" i="1"/>
  <c r="I127" i="1"/>
  <c r="F127" i="1"/>
  <c r="P126" i="1"/>
  <c r="O126" i="1"/>
  <c r="N126" i="1"/>
  <c r="M126" i="1"/>
  <c r="Q126" i="1" l="1"/>
  <c r="R126" i="1"/>
  <c r="N127" i="1"/>
  <c r="M127" i="1"/>
  <c r="E128" i="1"/>
  <c r="B128" i="1"/>
  <c r="H128" i="1"/>
  <c r="G128" i="1"/>
  <c r="I128" i="1"/>
  <c r="F128" i="1"/>
  <c r="D128" i="1"/>
  <c r="P127" i="1"/>
  <c r="O127" i="1"/>
  <c r="Q127" i="1" l="1"/>
  <c r="R127" i="1"/>
  <c r="B129" i="1"/>
  <c r="E129" i="1"/>
  <c r="H129" i="1"/>
  <c r="F129" i="1"/>
  <c r="D129" i="1"/>
  <c r="I129" i="1"/>
  <c r="G129" i="1"/>
  <c r="P128" i="1"/>
  <c r="O128" i="1"/>
  <c r="N128" i="1"/>
  <c r="M128" i="1"/>
  <c r="Q128" i="1" l="1"/>
  <c r="R128" i="1"/>
  <c r="N129" i="1"/>
  <c r="M129" i="1"/>
  <c r="P129" i="1"/>
  <c r="O129" i="1"/>
  <c r="E130" i="1"/>
  <c r="B130" i="1"/>
  <c r="H130" i="1"/>
  <c r="I130" i="1"/>
  <c r="F130" i="1"/>
  <c r="D130" i="1"/>
  <c r="G130" i="1"/>
  <c r="Q129" i="1" l="1"/>
  <c r="R129" i="1"/>
  <c r="N130" i="1"/>
  <c r="M130" i="1"/>
  <c r="P130" i="1"/>
  <c r="O130" i="1"/>
  <c r="E131" i="1"/>
  <c r="B131" i="1"/>
  <c r="F131" i="1"/>
  <c r="H131" i="1"/>
  <c r="G131" i="1"/>
  <c r="I131" i="1"/>
  <c r="D131" i="1"/>
  <c r="Q130" i="1" l="1"/>
  <c r="R130" i="1"/>
  <c r="E132" i="1"/>
  <c r="B132" i="1"/>
  <c r="I132" i="1"/>
  <c r="D132" i="1"/>
  <c r="G132" i="1"/>
  <c r="F132" i="1"/>
  <c r="H132" i="1"/>
  <c r="N131" i="1"/>
  <c r="M131" i="1"/>
  <c r="P131" i="1"/>
  <c r="O131" i="1"/>
  <c r="Q131" i="1" l="1"/>
  <c r="R131" i="1"/>
  <c r="N132" i="1"/>
  <c r="M132" i="1"/>
  <c r="P132" i="1"/>
  <c r="O132" i="1"/>
  <c r="E133" i="1"/>
  <c r="B133" i="1"/>
  <c r="D133" i="1"/>
  <c r="H133" i="1"/>
  <c r="I133" i="1"/>
  <c r="G133" i="1"/>
  <c r="F133" i="1"/>
  <c r="Q132" i="1" l="1"/>
  <c r="R132" i="1"/>
  <c r="N133" i="1"/>
  <c r="M133" i="1"/>
  <c r="E134" i="1"/>
  <c r="B134" i="1"/>
  <c r="D134" i="1"/>
  <c r="H134" i="1"/>
  <c r="I134" i="1"/>
  <c r="G134" i="1"/>
  <c r="F134" i="1"/>
  <c r="P133" i="1"/>
  <c r="O133" i="1"/>
  <c r="Q133" i="1" l="1"/>
  <c r="R133" i="1"/>
  <c r="E135" i="1"/>
  <c r="B135" i="1"/>
  <c r="I135" i="1"/>
  <c r="D135" i="1"/>
  <c r="H135" i="1"/>
  <c r="G135" i="1"/>
  <c r="F135" i="1"/>
  <c r="P134" i="1"/>
  <c r="O134" i="1"/>
  <c r="N134" i="1"/>
  <c r="M134" i="1"/>
  <c r="Q134" i="1" l="1"/>
  <c r="R134" i="1"/>
  <c r="N135" i="1"/>
  <c r="M135" i="1"/>
  <c r="E136" i="1"/>
  <c r="B136" i="1"/>
  <c r="G136" i="1"/>
  <c r="D136" i="1"/>
  <c r="H136" i="1"/>
  <c r="I136" i="1"/>
  <c r="F136" i="1"/>
  <c r="P135" i="1"/>
  <c r="O135" i="1"/>
  <c r="Q135" i="1" l="1"/>
  <c r="R135" i="1"/>
  <c r="B137" i="1"/>
  <c r="E137" i="1"/>
  <c r="G137" i="1"/>
  <c r="D137" i="1"/>
  <c r="H137" i="1"/>
  <c r="I137" i="1"/>
  <c r="F137" i="1"/>
  <c r="P136" i="1"/>
  <c r="O136" i="1"/>
  <c r="N136" i="1"/>
  <c r="M136" i="1"/>
  <c r="Q136" i="1" l="1"/>
  <c r="R136" i="1"/>
  <c r="N137" i="1"/>
  <c r="M137" i="1"/>
  <c r="P137" i="1"/>
  <c r="O137" i="1"/>
  <c r="E138" i="1"/>
  <c r="B138" i="1"/>
  <c r="F138" i="1"/>
  <c r="D138" i="1"/>
  <c r="I138" i="1"/>
  <c r="H138" i="1"/>
  <c r="G138" i="1"/>
  <c r="Q137" i="1" l="1"/>
  <c r="R137" i="1"/>
  <c r="N138" i="1"/>
  <c r="M138" i="1"/>
  <c r="P138" i="1"/>
  <c r="O138" i="1"/>
  <c r="E139" i="1"/>
  <c r="B139" i="1"/>
  <c r="H139" i="1"/>
  <c r="I139" i="1"/>
  <c r="F139" i="1"/>
  <c r="D139" i="1"/>
  <c r="G139" i="1"/>
  <c r="Q138" i="1" l="1"/>
  <c r="R138" i="1"/>
  <c r="N139" i="1"/>
  <c r="M139" i="1"/>
  <c r="E140" i="1"/>
  <c r="B140" i="1"/>
  <c r="F140" i="1"/>
  <c r="I140" i="1"/>
  <c r="G140" i="1"/>
  <c r="D140" i="1"/>
  <c r="H140" i="1"/>
  <c r="P139" i="1"/>
  <c r="O139" i="1"/>
  <c r="Q139" i="1" l="1"/>
  <c r="R139" i="1"/>
  <c r="P140" i="1"/>
  <c r="O140" i="1"/>
  <c r="B141" i="1"/>
  <c r="E141" i="1"/>
  <c r="I141" i="1"/>
  <c r="G141" i="1"/>
  <c r="D141" i="1"/>
  <c r="H141" i="1"/>
  <c r="F141" i="1"/>
  <c r="N140" i="1"/>
  <c r="M140" i="1"/>
  <c r="Q140" i="1" l="1"/>
  <c r="R140" i="1"/>
  <c r="E142" i="1"/>
  <c r="B142" i="1"/>
  <c r="H142" i="1"/>
  <c r="I142" i="1"/>
  <c r="D142" i="1"/>
  <c r="G142" i="1"/>
  <c r="F142" i="1"/>
  <c r="P141" i="1"/>
  <c r="O141" i="1"/>
  <c r="N141" i="1"/>
  <c r="M141" i="1"/>
  <c r="Q141" i="1" l="1"/>
  <c r="R141" i="1"/>
  <c r="P142" i="1"/>
  <c r="O142" i="1"/>
  <c r="N142" i="1"/>
  <c r="M142" i="1"/>
  <c r="E143" i="1"/>
  <c r="B143" i="1"/>
  <c r="D143" i="1"/>
  <c r="G143" i="1"/>
  <c r="H143" i="1"/>
  <c r="F143" i="1"/>
  <c r="I143" i="1"/>
  <c r="Q142" i="1" l="1"/>
  <c r="R142" i="1"/>
  <c r="N143" i="1"/>
  <c r="M143" i="1"/>
  <c r="E144" i="1"/>
  <c r="B144" i="1"/>
  <c r="D144" i="1"/>
  <c r="H144" i="1"/>
  <c r="G144" i="1"/>
  <c r="F144" i="1"/>
  <c r="I144" i="1"/>
  <c r="P143" i="1"/>
  <c r="O143" i="1"/>
  <c r="Q143" i="1" l="1"/>
  <c r="R143" i="1"/>
  <c r="B145" i="1"/>
  <c r="E145" i="1"/>
  <c r="F145" i="1"/>
  <c r="D145" i="1"/>
  <c r="H145" i="1"/>
  <c r="G145" i="1"/>
  <c r="I145" i="1"/>
  <c r="N144" i="1"/>
  <c r="M144" i="1"/>
  <c r="P144" i="1"/>
  <c r="O144" i="1"/>
  <c r="Q144" i="1" l="1"/>
  <c r="R144" i="1"/>
  <c r="N145" i="1"/>
  <c r="M145" i="1"/>
  <c r="P145" i="1"/>
  <c r="O145" i="1"/>
  <c r="E146" i="1"/>
  <c r="B146" i="1"/>
  <c r="D146" i="1"/>
  <c r="I146" i="1"/>
  <c r="F146" i="1"/>
  <c r="H146" i="1"/>
  <c r="G146" i="1"/>
  <c r="Q145" i="1" l="1"/>
  <c r="R145" i="1"/>
  <c r="P146" i="1"/>
  <c r="O146" i="1"/>
  <c r="N146" i="1"/>
  <c r="M146" i="1"/>
  <c r="E147" i="1"/>
  <c r="B147" i="1"/>
  <c r="D147" i="1"/>
  <c r="F147" i="1"/>
  <c r="G147" i="1"/>
  <c r="I147" i="1"/>
  <c r="H147" i="1"/>
  <c r="Q146" i="1" l="1"/>
  <c r="R146" i="1"/>
  <c r="E148" i="1"/>
  <c r="B148" i="1"/>
  <c r="I148" i="1"/>
  <c r="G148" i="1"/>
  <c r="F148" i="1"/>
  <c r="H148" i="1"/>
  <c r="D148" i="1"/>
  <c r="N147" i="1"/>
  <c r="M147" i="1"/>
  <c r="P147" i="1"/>
  <c r="O147" i="1"/>
  <c r="Q147" i="1" l="1"/>
  <c r="R147" i="1"/>
  <c r="N148" i="1"/>
  <c r="M148" i="1"/>
  <c r="P148" i="1"/>
  <c r="O148" i="1"/>
  <c r="E149" i="1"/>
  <c r="B149" i="1"/>
  <c r="D149" i="1"/>
  <c r="I149" i="1"/>
  <c r="H149" i="1"/>
  <c r="G149" i="1"/>
  <c r="F149" i="1"/>
  <c r="Q148" i="1" l="1"/>
  <c r="R148" i="1"/>
  <c r="P149" i="1"/>
  <c r="O149" i="1"/>
  <c r="N149" i="1"/>
  <c r="M149" i="1"/>
  <c r="E150" i="1"/>
  <c r="B150" i="1"/>
  <c r="H150" i="1"/>
  <c r="D150" i="1"/>
  <c r="G150" i="1"/>
  <c r="F150" i="1"/>
  <c r="I150" i="1"/>
  <c r="Q149" i="1" l="1"/>
  <c r="R149" i="1"/>
  <c r="N150" i="1"/>
  <c r="M150" i="1"/>
  <c r="P150" i="1"/>
  <c r="O150" i="1"/>
  <c r="E151" i="1"/>
  <c r="B151" i="1"/>
  <c r="H151" i="1"/>
  <c r="I151" i="1"/>
  <c r="G151" i="1"/>
  <c r="F151" i="1"/>
  <c r="D151" i="1"/>
  <c r="Q150" i="1" l="1"/>
  <c r="R150" i="1"/>
  <c r="N151" i="1"/>
  <c r="M151" i="1"/>
  <c r="E152" i="1"/>
  <c r="B152" i="1"/>
  <c r="G152" i="1"/>
  <c r="H152" i="1"/>
  <c r="I152" i="1"/>
  <c r="D152" i="1"/>
  <c r="F152" i="1"/>
  <c r="P151" i="1"/>
  <c r="O151" i="1"/>
  <c r="Q151" i="1" l="1"/>
  <c r="R151" i="1"/>
  <c r="B153" i="1"/>
  <c r="E153" i="1"/>
  <c r="G153" i="1"/>
  <c r="H153" i="1"/>
  <c r="D153" i="1"/>
  <c r="I153" i="1"/>
  <c r="F153" i="1"/>
  <c r="N152" i="1"/>
  <c r="M152" i="1"/>
  <c r="P152" i="1"/>
  <c r="O152" i="1"/>
  <c r="Q152" i="1" l="1"/>
  <c r="R152" i="1"/>
  <c r="N153" i="1"/>
  <c r="M153" i="1"/>
  <c r="P153" i="1"/>
  <c r="O153" i="1"/>
  <c r="E154" i="1"/>
  <c r="B154" i="1"/>
  <c r="H154" i="1"/>
  <c r="F154" i="1"/>
  <c r="D154" i="1"/>
  <c r="I154" i="1"/>
  <c r="G154" i="1"/>
  <c r="Q153" i="1" l="1"/>
  <c r="R153" i="1"/>
  <c r="N154" i="1"/>
  <c r="M154" i="1"/>
  <c r="P154" i="1"/>
  <c r="O154" i="1"/>
  <c r="E155" i="1"/>
  <c r="B155" i="1"/>
  <c r="I155" i="1"/>
  <c r="D155" i="1"/>
  <c r="G155" i="1"/>
  <c r="H155" i="1"/>
  <c r="F155" i="1"/>
  <c r="Q154" i="1" l="1"/>
  <c r="R154" i="1"/>
  <c r="E156" i="1"/>
  <c r="B156" i="1"/>
  <c r="F156" i="1"/>
  <c r="D156" i="1"/>
  <c r="I156" i="1"/>
  <c r="G156" i="1"/>
  <c r="H156" i="1"/>
  <c r="N155" i="1"/>
  <c r="M155" i="1"/>
  <c r="P155" i="1"/>
  <c r="O155" i="1"/>
  <c r="Q155" i="1" l="1"/>
  <c r="R155" i="1"/>
  <c r="N156" i="1"/>
  <c r="M156" i="1"/>
  <c r="P156" i="1"/>
  <c r="O156" i="1"/>
  <c r="B157" i="1"/>
  <c r="E157" i="1"/>
  <c r="I157" i="1"/>
  <c r="D157" i="1"/>
  <c r="G157" i="1"/>
  <c r="F157" i="1"/>
  <c r="H157" i="1"/>
  <c r="Q156" i="1" l="1"/>
  <c r="R156" i="1"/>
  <c r="N157" i="1"/>
  <c r="M157" i="1"/>
  <c r="E158" i="1"/>
  <c r="B158" i="1"/>
  <c r="D158" i="1"/>
  <c r="I158" i="1"/>
  <c r="H158" i="1"/>
  <c r="G158" i="1"/>
  <c r="F158" i="1"/>
  <c r="P157" i="1"/>
  <c r="O157" i="1"/>
  <c r="Q157" i="1" l="1"/>
  <c r="R157" i="1"/>
  <c r="P158" i="1"/>
  <c r="O158" i="1"/>
  <c r="N158" i="1"/>
  <c r="M158" i="1"/>
  <c r="Q158" i="1" l="1"/>
  <c r="R158" i="1"/>
</calcChain>
</file>

<file path=xl/sharedStrings.xml><?xml version="1.0" encoding="utf-8"?>
<sst xmlns="http://schemas.openxmlformats.org/spreadsheetml/2006/main" count="75" uniqueCount="74">
  <si>
    <t>Parameter</t>
  </si>
  <si>
    <t>Ks0</t>
  </si>
  <si>
    <t>Ls0</t>
  </si>
  <si>
    <t>alpha0</t>
  </si>
  <si>
    <t>beta0</t>
  </si>
  <si>
    <t>gamma0</t>
  </si>
  <si>
    <t>A0</t>
  </si>
  <si>
    <t>B0</t>
  </si>
  <si>
    <t>Ks1</t>
  </si>
  <si>
    <t>Ls1</t>
  </si>
  <si>
    <t>alpha1</t>
  </si>
  <si>
    <t>beta1</t>
  </si>
  <si>
    <t>gamma1</t>
  </si>
  <si>
    <t>A1</t>
  </si>
  <si>
    <t>B1</t>
  </si>
  <si>
    <t>K1e0</t>
  </si>
  <si>
    <t>K2e0</t>
  </si>
  <si>
    <t>L1e0</t>
  </si>
  <si>
    <t>L2e0</t>
  </si>
  <si>
    <t>X1e0</t>
  </si>
  <si>
    <t>X2e0</t>
  </si>
  <si>
    <t>m0</t>
  </si>
  <si>
    <t>m1</t>
  </si>
  <si>
    <t>a0</t>
  </si>
  <si>
    <t>K1e1</t>
  </si>
  <si>
    <t>K2e1</t>
  </si>
  <si>
    <t>L1e1</t>
  </si>
  <si>
    <t>L2e1</t>
  </si>
  <si>
    <t>X1e1</t>
  </si>
  <si>
    <t>X2e1</t>
  </si>
  <si>
    <t>a1</t>
  </si>
  <si>
    <t>Ke0</t>
  </si>
  <si>
    <t>Ke1</t>
  </si>
  <si>
    <t>Kq11</t>
  </si>
  <si>
    <t>Kq20</t>
  </si>
  <si>
    <t>Kq21</t>
  </si>
  <si>
    <t>km0</t>
  </si>
  <si>
    <t>km1</t>
  </si>
  <si>
    <t>X10</t>
  </si>
  <si>
    <t>X20</t>
  </si>
  <si>
    <t>X11</t>
  </si>
  <si>
    <t>X21</t>
  </si>
  <si>
    <t>U0</t>
  </si>
  <si>
    <t>U1</t>
  </si>
  <si>
    <t>X2U0</t>
  </si>
  <si>
    <t>X2U1</t>
  </si>
  <si>
    <t>L10</t>
  </si>
  <si>
    <t>Boundaries</t>
  </si>
  <si>
    <t>x10</t>
  </si>
  <si>
    <t>axis</t>
  </si>
  <si>
    <t>mrsc0</t>
  </si>
  <si>
    <t>mrsc1</t>
  </si>
  <si>
    <t>ap1p20</t>
  </si>
  <si>
    <t>ap1p21</t>
  </si>
  <si>
    <t>p1p2</t>
  </si>
  <si>
    <t>Closed economy two commodities, two inputs, general competitive equilibrium</t>
  </si>
  <si>
    <t>Technology</t>
  </si>
  <si>
    <t>Preference</t>
  </si>
  <si>
    <t>Endowment</t>
  </si>
  <si>
    <t>Initial</t>
  </si>
  <si>
    <t>Changed</t>
  </si>
  <si>
    <t>By Arief Anshory Yusuf</t>
  </si>
  <si>
    <t>Percent change</t>
  </si>
  <si>
    <t>X1</t>
  </si>
  <si>
    <t>X2</t>
  </si>
  <si>
    <t>K1</t>
  </si>
  <si>
    <t>K2</t>
  </si>
  <si>
    <t>L1</t>
  </si>
  <si>
    <t>L2</t>
  </si>
  <si>
    <t>P1/P2</t>
  </si>
  <si>
    <t>W/R</t>
  </si>
  <si>
    <t>U</t>
  </si>
  <si>
    <t>Eq0</t>
  </si>
  <si>
    <t>Eq1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</si>
</sst>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theme="9" tint="-0.249977111117893"/>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2" fontId="0" fillId="2" borderId="0" xfId="0" applyNumberFormat="1" applyFill="1"/>
    <xf numFmtId="0" fontId="1" fillId="2" borderId="0" xfId="0" applyFont="1" applyFill="1"/>
    <xf numFmtId="0" fontId="2" fillId="2" borderId="0" xfId="0" applyFont="1" applyFill="1"/>
    <xf numFmtId="0" fontId="3" fillId="2" borderId="0" xfId="0" applyFont="1" applyFill="1" applyAlignment="1">
      <alignment horizontal="right"/>
    </xf>
    <xf numFmtId="0" fontId="3" fillId="2" borderId="0" xfId="0" applyFont="1" applyFill="1"/>
    <xf numFmtId="0" fontId="0" fillId="2" borderId="0" xfId="0" applyFill="1" applyProtection="1">
      <protection locked="0"/>
    </xf>
    <xf numFmtId="0" fontId="2" fillId="2" borderId="0" xfId="0" applyFont="1" applyFill="1" applyProtection="1">
      <protection locked="0"/>
    </xf>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64195995978266"/>
          <c:y val="7.9842910563529781E-2"/>
          <c:w val="0.80887566391301635"/>
          <c:h val="0.77880084339203526"/>
        </c:manualLayout>
      </c:layout>
      <c:scatterChart>
        <c:scatterStyle val="smoothMarker"/>
        <c:varyColors val="0"/>
        <c:ser>
          <c:idx val="0"/>
          <c:order val="0"/>
          <c:tx>
            <c:strRef>
              <c:f>Diagram!$B$7</c:f>
              <c:strCache>
                <c:ptCount val="1"/>
                <c:pt idx="0">
                  <c:v>Ke0</c:v>
                </c:pt>
              </c:strCache>
            </c:strRef>
          </c:tx>
          <c:spPr>
            <a:ln w="25400" cap="rnd">
              <a:solidFill>
                <a:schemeClr val="bg1">
                  <a:lumMod val="50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Diagram!$B$8:$B$108</c:f>
              <c:numCache>
                <c:formatCode>0.00</c:formatCode>
                <c:ptCount val="101"/>
                <c:pt idx="0">
                  <c:v>0</c:v>
                </c:pt>
                <c:pt idx="1">
                  <c:v>3.4146341463414638</c:v>
                </c:pt>
                <c:pt idx="2">
                  <c:v>6.666666666666667</c:v>
                </c:pt>
                <c:pt idx="3">
                  <c:v>9.7674418604651176</c:v>
                </c:pt>
                <c:pt idx="4">
                  <c:v>12.727272727272728</c:v>
                </c:pt>
                <c:pt idx="5">
                  <c:v>15.555555555555555</c:v>
                </c:pt>
                <c:pt idx="6">
                  <c:v>18.260869565217394</c:v>
                </c:pt>
                <c:pt idx="7">
                  <c:v>20.851063829787236</c:v>
                </c:pt>
                <c:pt idx="8">
                  <c:v>23.333333333333336</c:v>
                </c:pt>
                <c:pt idx="9">
                  <c:v>25.714285714285715</c:v>
                </c:pt>
                <c:pt idx="10">
                  <c:v>28</c:v>
                </c:pt>
                <c:pt idx="11">
                  <c:v>30.196078431372548</c:v>
                </c:pt>
                <c:pt idx="12">
                  <c:v>32.307692307692314</c:v>
                </c:pt>
                <c:pt idx="13">
                  <c:v>34.339622641509436</c:v>
                </c:pt>
                <c:pt idx="14">
                  <c:v>36.296296296296298</c:v>
                </c:pt>
                <c:pt idx="15">
                  <c:v>38.18181818181818</c:v>
                </c:pt>
                <c:pt idx="16">
                  <c:v>40</c:v>
                </c:pt>
                <c:pt idx="17">
                  <c:v>41.754385964912288</c:v>
                </c:pt>
                <c:pt idx="18">
                  <c:v>43.448275862068968</c:v>
                </c:pt>
                <c:pt idx="19">
                  <c:v>45.084745762711869</c:v>
                </c:pt>
                <c:pt idx="20">
                  <c:v>46.666666666666664</c:v>
                </c:pt>
                <c:pt idx="21">
                  <c:v>48.196721311475407</c:v>
                </c:pt>
                <c:pt idx="22">
                  <c:v>49.677419354838705</c:v>
                </c:pt>
                <c:pt idx="23">
                  <c:v>51.111111111111114</c:v>
                </c:pt>
                <c:pt idx="24">
                  <c:v>52.5</c:v>
                </c:pt>
                <c:pt idx="25">
                  <c:v>53.846153846153847</c:v>
                </c:pt>
                <c:pt idx="26">
                  <c:v>55.151515151515163</c:v>
                </c:pt>
                <c:pt idx="27">
                  <c:v>56.417910447761187</c:v>
                </c:pt>
                <c:pt idx="28">
                  <c:v>57.647058823529413</c:v>
                </c:pt>
                <c:pt idx="29">
                  <c:v>58.840579710144929</c:v>
                </c:pt>
                <c:pt idx="30">
                  <c:v>60</c:v>
                </c:pt>
                <c:pt idx="31">
                  <c:v>61.126760563380287</c:v>
                </c:pt>
                <c:pt idx="32">
                  <c:v>62.222222222222221</c:v>
                </c:pt>
                <c:pt idx="33">
                  <c:v>63.287671232876718</c:v>
                </c:pt>
                <c:pt idx="34">
                  <c:v>64.324324324324323</c:v>
                </c:pt>
                <c:pt idx="35">
                  <c:v>65.333333333333329</c:v>
                </c:pt>
                <c:pt idx="36">
                  <c:v>66.31578947368422</c:v>
                </c:pt>
                <c:pt idx="37">
                  <c:v>67.27272727272728</c:v>
                </c:pt>
                <c:pt idx="38">
                  <c:v>68.205128205128204</c:v>
                </c:pt>
                <c:pt idx="39">
                  <c:v>69.113924050632917</c:v>
                </c:pt>
                <c:pt idx="40">
                  <c:v>70</c:v>
                </c:pt>
                <c:pt idx="41">
                  <c:v>70.864197530864203</c:v>
                </c:pt>
                <c:pt idx="42">
                  <c:v>71.707317073170728</c:v>
                </c:pt>
                <c:pt idx="43">
                  <c:v>72.53012048192771</c:v>
                </c:pt>
                <c:pt idx="44">
                  <c:v>73.333333333333329</c:v>
                </c:pt>
                <c:pt idx="45">
                  <c:v>74.117647058823522</c:v>
                </c:pt>
                <c:pt idx="46">
                  <c:v>74.883720930232556</c:v>
                </c:pt>
                <c:pt idx="47">
                  <c:v>75.632183908045974</c:v>
                </c:pt>
                <c:pt idx="48">
                  <c:v>76.363636363636374</c:v>
                </c:pt>
                <c:pt idx="49">
                  <c:v>77.078651685393254</c:v>
                </c:pt>
                <c:pt idx="50">
                  <c:v>77.777777777777771</c:v>
                </c:pt>
                <c:pt idx="51">
                  <c:v>78.461538461538467</c:v>
                </c:pt>
                <c:pt idx="52">
                  <c:v>79.130434782608688</c:v>
                </c:pt>
                <c:pt idx="53">
                  <c:v>79.784946236559151</c:v>
                </c:pt>
                <c:pt idx="54">
                  <c:v>80.425531914893625</c:v>
                </c:pt>
                <c:pt idx="55">
                  <c:v>81.052631578947384</c:v>
                </c:pt>
                <c:pt idx="56">
                  <c:v>81.666666666666671</c:v>
                </c:pt>
                <c:pt idx="57">
                  <c:v>82.268041237113408</c:v>
                </c:pt>
                <c:pt idx="58">
                  <c:v>82.857142857142861</c:v>
                </c:pt>
                <c:pt idx="59">
                  <c:v>83.434343434343432</c:v>
                </c:pt>
                <c:pt idx="60">
                  <c:v>84</c:v>
                </c:pt>
                <c:pt idx="61">
                  <c:v>84.554455445544548</c:v>
                </c:pt>
                <c:pt idx="62">
                  <c:v>85.098039215686285</c:v>
                </c:pt>
                <c:pt idx="63">
                  <c:v>85.631067961165044</c:v>
                </c:pt>
                <c:pt idx="64">
                  <c:v>86.15384615384616</c:v>
                </c:pt>
                <c:pt idx="65">
                  <c:v>86.666666666666671</c:v>
                </c:pt>
                <c:pt idx="66">
                  <c:v>87.169811320754718</c:v>
                </c:pt>
                <c:pt idx="67">
                  <c:v>87.663551401869157</c:v>
                </c:pt>
                <c:pt idx="68">
                  <c:v>88.148148148148152</c:v>
                </c:pt>
                <c:pt idx="69">
                  <c:v>88.623853211009163</c:v>
                </c:pt>
                <c:pt idx="70">
                  <c:v>89.090909090909093</c:v>
                </c:pt>
                <c:pt idx="71">
                  <c:v>89.549549549549553</c:v>
                </c:pt>
                <c:pt idx="72">
                  <c:v>90</c:v>
                </c:pt>
                <c:pt idx="73">
                  <c:v>90.442477876106196</c:v>
                </c:pt>
                <c:pt idx="74">
                  <c:v>90.877192982456151</c:v>
                </c:pt>
                <c:pt idx="75">
                  <c:v>91.304347826086953</c:v>
                </c:pt>
                <c:pt idx="76">
                  <c:v>91.724137931034491</c:v>
                </c:pt>
                <c:pt idx="77">
                  <c:v>92.136752136752136</c:v>
                </c:pt>
                <c:pt idx="78">
                  <c:v>92.542372881355931</c:v>
                </c:pt>
                <c:pt idx="79">
                  <c:v>92.941176470588232</c:v>
                </c:pt>
                <c:pt idx="80">
                  <c:v>93.333333333333329</c:v>
                </c:pt>
                <c:pt idx="81">
                  <c:v>93.719008264462801</c:v>
                </c:pt>
                <c:pt idx="82">
                  <c:v>94.098360655737721</c:v>
                </c:pt>
                <c:pt idx="83">
                  <c:v>94.471544715447152</c:v>
                </c:pt>
                <c:pt idx="84">
                  <c:v>94.838709677419345</c:v>
                </c:pt>
                <c:pt idx="85">
                  <c:v>95.2</c:v>
                </c:pt>
                <c:pt idx="86">
                  <c:v>95.555555555555557</c:v>
                </c:pt>
                <c:pt idx="87">
                  <c:v>95.905511811023615</c:v>
                </c:pt>
                <c:pt idx="88">
                  <c:v>96.25</c:v>
                </c:pt>
                <c:pt idx="89">
                  <c:v>96.589147286821699</c:v>
                </c:pt>
                <c:pt idx="90">
                  <c:v>96.923076923076906</c:v>
                </c:pt>
                <c:pt idx="91">
                  <c:v>97.251908396946575</c:v>
                </c:pt>
                <c:pt idx="92">
                  <c:v>97.575757575757578</c:v>
                </c:pt>
                <c:pt idx="93">
                  <c:v>97.89473684210526</c:v>
                </c:pt>
                <c:pt idx="94">
                  <c:v>98.208955223880594</c:v>
                </c:pt>
                <c:pt idx="95">
                  <c:v>98.518518518518519</c:v>
                </c:pt>
                <c:pt idx="96">
                  <c:v>98.82352941176471</c:v>
                </c:pt>
                <c:pt idx="97">
                  <c:v>99.124087591240865</c:v>
                </c:pt>
                <c:pt idx="98">
                  <c:v>99.420289855072468</c:v>
                </c:pt>
                <c:pt idx="99">
                  <c:v>99.712230215827347</c:v>
                </c:pt>
                <c:pt idx="100">
                  <c:v>100</c:v>
                </c:pt>
              </c:numCache>
            </c:numRef>
          </c:yVal>
          <c:smooth val="1"/>
          <c:extLst>
            <c:ext xmlns:c16="http://schemas.microsoft.com/office/drawing/2014/chart" uri="{C3380CC4-5D6E-409C-BE32-E72D297353CC}">
              <c16:uniqueId val="{00000000-5E39-4F1E-9FF2-7456F016F9C5}"/>
            </c:ext>
          </c:extLst>
        </c:ser>
        <c:ser>
          <c:idx val="1"/>
          <c:order val="1"/>
          <c:tx>
            <c:strRef>
              <c:f>Diagram!$C$7</c:f>
              <c:strCache>
                <c:ptCount val="1"/>
                <c:pt idx="0">
                  <c:v>Ke1</c:v>
                </c:pt>
              </c:strCache>
            </c:strRef>
          </c:tx>
          <c:spPr>
            <a:ln w="25400" cap="rnd">
              <a:solidFill>
                <a:schemeClr val="bg1">
                  <a:lumMod val="50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Diagram!$C$8:$C$108</c:f>
              <c:numCache>
                <c:formatCode>0.00</c:formatCode>
                <c:ptCount val="101"/>
                <c:pt idx="0">
                  <c:v>0</c:v>
                </c:pt>
                <c:pt idx="1">
                  <c:v>3.4146341463414638</c:v>
                </c:pt>
                <c:pt idx="2">
                  <c:v>6.666666666666667</c:v>
                </c:pt>
                <c:pt idx="3">
                  <c:v>9.7674418604651176</c:v>
                </c:pt>
                <c:pt idx="4">
                  <c:v>12.727272727272728</c:v>
                </c:pt>
                <c:pt idx="5">
                  <c:v>15.555555555555555</c:v>
                </c:pt>
                <c:pt idx="6">
                  <c:v>18.260869565217394</c:v>
                </c:pt>
                <c:pt idx="7">
                  <c:v>20.851063829787236</c:v>
                </c:pt>
                <c:pt idx="8">
                  <c:v>23.333333333333336</c:v>
                </c:pt>
                <c:pt idx="9">
                  <c:v>25.714285714285715</c:v>
                </c:pt>
                <c:pt idx="10">
                  <c:v>28</c:v>
                </c:pt>
                <c:pt idx="11">
                  <c:v>30.196078431372548</c:v>
                </c:pt>
                <c:pt idx="12">
                  <c:v>32.307692307692314</c:v>
                </c:pt>
                <c:pt idx="13">
                  <c:v>34.339622641509436</c:v>
                </c:pt>
                <c:pt idx="14">
                  <c:v>36.296296296296298</c:v>
                </c:pt>
                <c:pt idx="15">
                  <c:v>38.18181818181818</c:v>
                </c:pt>
                <c:pt idx="16">
                  <c:v>40</c:v>
                </c:pt>
                <c:pt idx="17">
                  <c:v>41.754385964912288</c:v>
                </c:pt>
                <c:pt idx="18">
                  <c:v>43.448275862068968</c:v>
                </c:pt>
                <c:pt idx="19">
                  <c:v>45.084745762711869</c:v>
                </c:pt>
                <c:pt idx="20">
                  <c:v>46.666666666666664</c:v>
                </c:pt>
                <c:pt idx="21">
                  <c:v>48.196721311475407</c:v>
                </c:pt>
                <c:pt idx="22">
                  <c:v>49.677419354838705</c:v>
                </c:pt>
                <c:pt idx="23">
                  <c:v>51.111111111111114</c:v>
                </c:pt>
                <c:pt idx="24">
                  <c:v>52.5</c:v>
                </c:pt>
                <c:pt idx="25">
                  <c:v>53.846153846153847</c:v>
                </c:pt>
                <c:pt idx="26">
                  <c:v>55.151515151515163</c:v>
                </c:pt>
                <c:pt idx="27">
                  <c:v>56.417910447761187</c:v>
                </c:pt>
                <c:pt idx="28">
                  <c:v>57.647058823529413</c:v>
                </c:pt>
                <c:pt idx="29">
                  <c:v>58.840579710144929</c:v>
                </c:pt>
                <c:pt idx="30">
                  <c:v>60</c:v>
                </c:pt>
                <c:pt idx="31">
                  <c:v>61.126760563380287</c:v>
                </c:pt>
                <c:pt idx="32">
                  <c:v>62.222222222222221</c:v>
                </c:pt>
                <c:pt idx="33">
                  <c:v>63.287671232876718</c:v>
                </c:pt>
                <c:pt idx="34">
                  <c:v>64.324324324324323</c:v>
                </c:pt>
                <c:pt idx="35">
                  <c:v>65.333333333333329</c:v>
                </c:pt>
                <c:pt idx="36">
                  <c:v>66.31578947368422</c:v>
                </c:pt>
                <c:pt idx="37">
                  <c:v>67.27272727272728</c:v>
                </c:pt>
                <c:pt idx="38">
                  <c:v>68.205128205128204</c:v>
                </c:pt>
                <c:pt idx="39">
                  <c:v>69.113924050632917</c:v>
                </c:pt>
                <c:pt idx="40">
                  <c:v>70</c:v>
                </c:pt>
                <c:pt idx="41">
                  <c:v>70.864197530864203</c:v>
                </c:pt>
                <c:pt idx="42">
                  <c:v>71.707317073170728</c:v>
                </c:pt>
                <c:pt idx="43">
                  <c:v>72.53012048192771</c:v>
                </c:pt>
                <c:pt idx="44">
                  <c:v>73.333333333333329</c:v>
                </c:pt>
                <c:pt idx="45">
                  <c:v>74.117647058823522</c:v>
                </c:pt>
                <c:pt idx="46">
                  <c:v>74.883720930232556</c:v>
                </c:pt>
                <c:pt idx="47">
                  <c:v>75.632183908045974</c:v>
                </c:pt>
                <c:pt idx="48">
                  <c:v>76.363636363636374</c:v>
                </c:pt>
                <c:pt idx="49">
                  <c:v>77.078651685393254</c:v>
                </c:pt>
                <c:pt idx="50">
                  <c:v>77.777777777777771</c:v>
                </c:pt>
                <c:pt idx="51">
                  <c:v>78.461538461538467</c:v>
                </c:pt>
                <c:pt idx="52">
                  <c:v>79.130434782608688</c:v>
                </c:pt>
                <c:pt idx="53">
                  <c:v>79.784946236559151</c:v>
                </c:pt>
                <c:pt idx="54">
                  <c:v>80.425531914893625</c:v>
                </c:pt>
                <c:pt idx="55">
                  <c:v>81.052631578947384</c:v>
                </c:pt>
                <c:pt idx="56">
                  <c:v>81.666666666666671</c:v>
                </c:pt>
                <c:pt idx="57">
                  <c:v>82.268041237113408</c:v>
                </c:pt>
                <c:pt idx="58">
                  <c:v>82.857142857142861</c:v>
                </c:pt>
                <c:pt idx="59">
                  <c:v>83.434343434343432</c:v>
                </c:pt>
                <c:pt idx="60">
                  <c:v>84</c:v>
                </c:pt>
                <c:pt idx="61">
                  <c:v>84.554455445544548</c:v>
                </c:pt>
                <c:pt idx="62">
                  <c:v>85.098039215686285</c:v>
                </c:pt>
                <c:pt idx="63">
                  <c:v>85.631067961165044</c:v>
                </c:pt>
                <c:pt idx="64">
                  <c:v>86.15384615384616</c:v>
                </c:pt>
                <c:pt idx="65">
                  <c:v>86.666666666666671</c:v>
                </c:pt>
                <c:pt idx="66">
                  <c:v>87.169811320754718</c:v>
                </c:pt>
                <c:pt idx="67">
                  <c:v>87.663551401869157</c:v>
                </c:pt>
                <c:pt idx="68">
                  <c:v>88.148148148148152</c:v>
                </c:pt>
                <c:pt idx="69">
                  <c:v>88.623853211009163</c:v>
                </c:pt>
                <c:pt idx="70">
                  <c:v>89.090909090909093</c:v>
                </c:pt>
                <c:pt idx="71">
                  <c:v>89.549549549549553</c:v>
                </c:pt>
                <c:pt idx="72">
                  <c:v>90</c:v>
                </c:pt>
                <c:pt idx="73">
                  <c:v>90.442477876106196</c:v>
                </c:pt>
                <c:pt idx="74">
                  <c:v>90.877192982456151</c:v>
                </c:pt>
                <c:pt idx="75">
                  <c:v>91.304347826086953</c:v>
                </c:pt>
                <c:pt idx="76">
                  <c:v>91.724137931034491</c:v>
                </c:pt>
                <c:pt idx="77">
                  <c:v>92.136752136752136</c:v>
                </c:pt>
                <c:pt idx="78">
                  <c:v>92.542372881355931</c:v>
                </c:pt>
                <c:pt idx="79">
                  <c:v>92.941176470588232</c:v>
                </c:pt>
                <c:pt idx="80">
                  <c:v>93.333333333333329</c:v>
                </c:pt>
                <c:pt idx="81">
                  <c:v>93.719008264462801</c:v>
                </c:pt>
                <c:pt idx="82">
                  <c:v>94.098360655737721</c:v>
                </c:pt>
                <c:pt idx="83">
                  <c:v>94.471544715447152</c:v>
                </c:pt>
                <c:pt idx="84">
                  <c:v>94.838709677419345</c:v>
                </c:pt>
                <c:pt idx="85">
                  <c:v>95.2</c:v>
                </c:pt>
                <c:pt idx="86">
                  <c:v>95.555555555555557</c:v>
                </c:pt>
                <c:pt idx="87">
                  <c:v>95.905511811023615</c:v>
                </c:pt>
                <c:pt idx="88">
                  <c:v>96.25</c:v>
                </c:pt>
                <c:pt idx="89">
                  <c:v>96.589147286821699</c:v>
                </c:pt>
                <c:pt idx="90">
                  <c:v>96.923076923076906</c:v>
                </c:pt>
                <c:pt idx="91">
                  <c:v>97.251908396946575</c:v>
                </c:pt>
                <c:pt idx="92">
                  <c:v>97.575757575757578</c:v>
                </c:pt>
                <c:pt idx="93">
                  <c:v>97.89473684210526</c:v>
                </c:pt>
                <c:pt idx="94">
                  <c:v>98.208955223880594</c:v>
                </c:pt>
                <c:pt idx="95">
                  <c:v>98.518518518518519</c:v>
                </c:pt>
                <c:pt idx="96">
                  <c:v>98.82352941176471</c:v>
                </c:pt>
                <c:pt idx="97">
                  <c:v>99.124087591240865</c:v>
                </c:pt>
                <c:pt idx="98">
                  <c:v>99.420289855072468</c:v>
                </c:pt>
                <c:pt idx="99">
                  <c:v>99.712230215827347</c:v>
                </c:pt>
                <c:pt idx="100">
                  <c:v>100</c:v>
                </c:pt>
              </c:numCache>
            </c:numRef>
          </c:yVal>
          <c:smooth val="1"/>
          <c:extLst>
            <c:ext xmlns:c16="http://schemas.microsoft.com/office/drawing/2014/chart" uri="{C3380CC4-5D6E-409C-BE32-E72D297353CC}">
              <c16:uniqueId val="{00000001-5E39-4F1E-9FF2-7456F016F9C5}"/>
            </c:ext>
          </c:extLst>
        </c:ser>
        <c:ser>
          <c:idx val="2"/>
          <c:order val="2"/>
          <c:tx>
            <c:strRef>
              <c:f>Diagram!$D$7</c:f>
              <c:strCache>
                <c:ptCount val="1"/>
                <c:pt idx="0">
                  <c:v>x10</c:v>
                </c:pt>
              </c:strCache>
            </c:strRef>
          </c:tx>
          <c:spPr>
            <a:ln w="25400" cap="rnd">
              <a:solidFill>
                <a:schemeClr val="accent5">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Diagram!$D$8:$D$108</c:f>
              <c:numCache>
                <c:formatCode>0.00</c:formatCode>
                <c:ptCount val="101"/>
                <c:pt idx="1">
                  <c:v>336.33766549296752</c:v>
                </c:pt>
                <c:pt idx="2">
                  <c:v>211.87945231354527</c:v>
                </c:pt>
                <c:pt idx="3">
                  <c:v>161.69428451180974</c:v>
                </c:pt>
                <c:pt idx="4">
                  <c:v>133.4756910050163</c:v>
                </c:pt>
                <c:pt idx="5">
                  <c:v>115.0258635908735</c:v>
                </c:pt>
                <c:pt idx="6">
                  <c:v>101.86101635205988</c:v>
                </c:pt>
                <c:pt idx="7">
                  <c:v>91.912972608909527</c:v>
                </c:pt>
                <c:pt idx="8">
                  <c:v>84.08441637324195</c:v>
                </c:pt>
                <c:pt idx="9">
                  <c:v>77.73450411944053</c:v>
                </c:pt>
                <c:pt idx="10">
                  <c:v>72.461753410238884</c:v>
                </c:pt>
                <c:pt idx="11">
                  <c:v>68.000751978629296</c:v>
                </c:pt>
                <c:pt idx="12">
                  <c:v>64.168419332823035</c:v>
                </c:pt>
                <c:pt idx="13">
                  <c:v>60.834032281587376</c:v>
                </c:pt>
                <c:pt idx="14">
                  <c:v>57.901544474187986</c:v>
                </c:pt>
                <c:pt idx="15">
                  <c:v>55.298667446058666</c:v>
                </c:pt>
                <c:pt idx="16">
                  <c:v>52.969863078386311</c:v>
                </c:pt>
                <c:pt idx="17">
                  <c:v>50.871696913354995</c:v>
                </c:pt>
                <c:pt idx="18">
                  <c:v>48.969669021611409</c:v>
                </c:pt>
                <c:pt idx="19">
                  <c:v>47.235999006774968</c:v>
                </c:pt>
                <c:pt idx="20">
                  <c:v>45.64804421692579</c:v>
                </c:pt>
                <c:pt idx="21">
                  <c:v>44.187148416958777</c:v>
                </c:pt>
                <c:pt idx="22">
                  <c:v>42.837789413277733</c:v>
                </c:pt>
                <c:pt idx="23">
                  <c:v>41.586938303296151</c:v>
                </c:pt>
                <c:pt idx="24">
                  <c:v>40.423571127952428</c:v>
                </c:pt>
                <c:pt idx="25">
                  <c:v>39.338291997221695</c:v>
                </c:pt>
                <c:pt idx="26">
                  <c:v>38.323038910778074</c:v>
                </c:pt>
                <c:pt idx="27">
                  <c:v>37.37085172144085</c:v>
                </c:pt>
                <c:pt idx="28">
                  <c:v>36.475687352226828</c:v>
                </c:pt>
                <c:pt idx="29">
                  <c:v>35.632271338135936</c:v>
                </c:pt>
                <c:pt idx="30">
                  <c:v>34.83597757321283</c:v>
                </c:pt>
                <c:pt idx="31">
                  <c:v>34.08273016290633</c:v>
                </c:pt>
                <c:pt idx="32">
                  <c:v>33.368922751254054</c:v>
                </c:pt>
                <c:pt idx="33">
                  <c:v>32.691351773919578</c:v>
                </c:pt>
                <c:pt idx="34">
                  <c:v>32.047160892504003</c:v>
                </c:pt>
                <c:pt idx="35">
                  <c:v>31.433794469757856</c:v>
                </c:pt>
                <c:pt idx="36">
                  <c:v>30.848958403356548</c:v>
                </c:pt>
                <c:pt idx="37">
                  <c:v>30.290586986141971</c:v>
                </c:pt>
                <c:pt idx="38">
                  <c:v>29.756814730724543</c:v>
                </c:pt>
                <c:pt idx="39">
                  <c:v>29.245952306062115</c:v>
                </c:pt>
                <c:pt idx="40">
                  <c:v>28.756465897718371</c:v>
                </c:pt>
                <c:pt idx="41">
                  <c:v>28.286959432754404</c:v>
                </c:pt>
                <c:pt idx="42">
                  <c:v>27.836159212677646</c:v>
                </c:pt>
                <c:pt idx="43">
                  <c:v>27.402900579606069</c:v>
                </c:pt>
                <c:pt idx="44">
                  <c:v>26.986116306376186</c:v>
                </c:pt>
                <c:pt idx="45">
                  <c:v>26.584826454216763</c:v>
                </c:pt>
                <c:pt idx="46">
                  <c:v>26.198129484501102</c:v>
                </c:pt>
                <c:pt idx="47">
                  <c:v>25.825194446042246</c:v>
                </c:pt>
                <c:pt idx="48">
                  <c:v>25.465254088014952</c:v>
                </c:pt>
                <c:pt idx="49">
                  <c:v>25.117598772126779</c:v>
                </c:pt>
                <c:pt idx="50">
                  <c:v>24.781571077105326</c:v>
                </c:pt>
                <c:pt idx="51">
                  <c:v>24.456561004698312</c:v>
                </c:pt>
                <c:pt idx="52">
                  <c:v>24.142001709814785</c:v>
                </c:pt>
                <c:pt idx="53">
                  <c:v>23.837365688664271</c:v>
                </c:pt>
                <c:pt idx="54">
                  <c:v>23.542161368171683</c:v>
                </c:pt>
                <c:pt idx="55">
                  <c:v>23.255930047876777</c:v>
                </c:pt>
                <c:pt idx="56">
                  <c:v>22.978243152227368</c:v>
                </c:pt>
                <c:pt idx="57">
                  <c:v>22.708699756854127</c:v>
                </c:pt>
                <c:pt idx="58">
                  <c:v>22.446924357241613</c:v>
                </c:pt>
                <c:pt idx="59">
                  <c:v>22.192564852327148</c:v>
                </c:pt>
                <c:pt idx="60">
                  <c:v>21.945290719078262</c:v>
                </c:pt>
                <c:pt idx="61">
                  <c:v>21.704791357118484</c:v>
                </c:pt>
                <c:pt idx="62">
                  <c:v>21.470774585066305</c:v>
                </c:pt>
                <c:pt idx="63">
                  <c:v>21.242965272489489</c:v>
                </c:pt>
                <c:pt idx="64">
                  <c:v>21.021104093310473</c:v>
                </c:pt>
                <c:pt idx="65">
                  <c:v>20.804946388173619</c:v>
                </c:pt>
                <c:pt idx="66">
                  <c:v>20.594261124739692</c:v>
                </c:pt>
                <c:pt idx="67">
                  <c:v>20.38882994613876</c:v>
                </c:pt>
                <c:pt idx="68">
                  <c:v>20.188446298916784</c:v>
                </c:pt>
                <c:pt idx="69">
                  <c:v>19.992914632776529</c:v>
                </c:pt>
                <c:pt idx="70">
                  <c:v>19.80204966525849</c:v>
                </c:pt>
                <c:pt idx="71">
                  <c:v>19.615675705249664</c:v>
                </c:pt>
                <c:pt idx="72">
                  <c:v>19.433626029860118</c:v>
                </c:pt>
                <c:pt idx="73">
                  <c:v>19.255742309782445</c:v>
                </c:pt>
                <c:pt idx="74">
                  <c:v>19.081874078755988</c:v>
                </c:pt>
                <c:pt idx="75">
                  <c:v>18.91187824320679</c:v>
                </c:pt>
                <c:pt idx="76">
                  <c:v>18.745618628530856</c:v>
                </c:pt>
                <c:pt idx="77">
                  <c:v>18.582965558841597</c:v>
                </c:pt>
                <c:pt idx="78">
                  <c:v>18.423795467314584</c:v>
                </c:pt>
                <c:pt idx="79">
                  <c:v>18.267990534542314</c:v>
                </c:pt>
                <c:pt idx="80">
                  <c:v>18.115438352559725</c:v>
                </c:pt>
                <c:pt idx="81">
                  <c:v>17.966031612423301</c:v>
                </c:pt>
                <c:pt idx="82">
                  <c:v>17.819667813424811</c:v>
                </c:pt>
                <c:pt idx="83">
                  <c:v>17.676248992198328</c:v>
                </c:pt>
                <c:pt idx="84">
                  <c:v>17.535681470138826</c:v>
                </c:pt>
                <c:pt idx="85">
                  <c:v>17.397875617692836</c:v>
                </c:pt>
                <c:pt idx="86">
                  <c:v>17.262745634211065</c:v>
                </c:pt>
                <c:pt idx="87">
                  <c:v>17.130209342167849</c:v>
                </c:pt>
                <c:pt idx="88">
                  <c:v>17.000187994657313</c:v>
                </c:pt>
                <c:pt idx="89">
                  <c:v>16.872606095169434</c:v>
                </c:pt>
                <c:pt idx="90">
                  <c:v>16.747391228734894</c:v>
                </c:pt>
                <c:pt idx="91">
                  <c:v>16.624473903604365</c:v>
                </c:pt>
                <c:pt idx="92">
                  <c:v>16.503787402697231</c:v>
                </c:pt>
                <c:pt idx="93">
                  <c:v>16.385267644118326</c:v>
                </c:pt>
                <c:pt idx="94">
                  <c:v>16.268853050098389</c:v>
                </c:pt>
                <c:pt idx="95">
                  <c:v>16.154484423765904</c:v>
                </c:pt>
                <c:pt idx="96">
                  <c:v>16.042104833205755</c:v>
                </c:pt>
                <c:pt idx="97">
                  <c:v>15.931659502302793</c:v>
                </c:pt>
                <c:pt idx="98">
                  <c:v>15.823095707908069</c:v>
                </c:pt>
                <c:pt idx="99">
                  <c:v>15.716362682901277</c:v>
                </c:pt>
                <c:pt idx="100">
                  <c:v>15.61141152475547</c:v>
                </c:pt>
              </c:numCache>
            </c:numRef>
          </c:yVal>
          <c:smooth val="1"/>
          <c:extLst>
            <c:ext xmlns:c16="http://schemas.microsoft.com/office/drawing/2014/chart" uri="{C3380CC4-5D6E-409C-BE32-E72D297353CC}">
              <c16:uniqueId val="{00000002-5E39-4F1E-9FF2-7456F016F9C5}"/>
            </c:ext>
          </c:extLst>
        </c:ser>
        <c:ser>
          <c:idx val="3"/>
          <c:order val="3"/>
          <c:tx>
            <c:strRef>
              <c:f>Diagram!$E$7</c:f>
              <c:strCache>
                <c:ptCount val="1"/>
                <c:pt idx="0">
                  <c:v>Kq11</c:v>
                </c:pt>
              </c:strCache>
            </c:strRef>
          </c:tx>
          <c:spPr>
            <a:ln w="25400" cap="rnd">
              <a:solidFill>
                <a:schemeClr val="accent2">
                  <a:lumMod val="75000"/>
                </a:schemeClr>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Diagram!$E$8:$E$108</c:f>
              <c:numCache>
                <c:formatCode>0.00</c:formatCode>
                <c:ptCount val="101"/>
                <c:pt idx="1">
                  <c:v>66.935613262975664</c:v>
                </c:pt>
                <c:pt idx="2">
                  <c:v>66.143004474263833</c:v>
                </c:pt>
                <c:pt idx="3">
                  <c:v>65.322971174627156</c:v>
                </c:pt>
                <c:pt idx="4">
                  <c:v>64.474266874862664</c:v>
                </c:pt>
                <c:pt idx="5">
                  <c:v>63.595574618299572</c:v>
                </c:pt>
                <c:pt idx="6">
                  <c:v>62.685502199511049</c:v>
                </c:pt>
                <c:pt idx="7">
                  <c:v>61.742577003324215</c:v>
                </c:pt>
                <c:pt idx="8">
                  <c:v>60.765240429488067</c:v>
                </c:pt>
                <c:pt idx="9">
                  <c:v>59.751841864781497</c:v>
                </c:pt>
                <c:pt idx="10">
                  <c:v>58.700632160348782</c:v>
                </c:pt>
                <c:pt idx="11">
                  <c:v>57.609756567592726</c:v>
                </c:pt>
                <c:pt idx="12">
                  <c:v>56.477247080967906</c:v>
                </c:pt>
                <c:pt idx="13">
                  <c:v>55.301014130432144</c:v>
                </c:pt>
                <c:pt idx="14">
                  <c:v>54.078837560055248</c:v>
                </c:pt>
                <c:pt idx="15">
                  <c:v>52.808356822256627</c:v>
                </c:pt>
                <c:pt idx="16">
                  <c:v>51.487060309246012</c:v>
                </c:pt>
                <c:pt idx="17">
                  <c:v>50.112273734353053</c:v>
                </c:pt>
                <c:pt idx="18">
                  <c:v>48.681147465911046</c:v>
                </c:pt>
                <c:pt idx="19">
                  <c:v>47.190642705057776</c:v>
                </c:pt>
                <c:pt idx="20">
                  <c:v>45.637516386032708</c:v>
                </c:pt>
                <c:pt idx="21">
                  <c:v>44.018304663089381</c:v>
                </c:pt>
                <c:pt idx="22">
                  <c:v>42.329304831742718</c:v>
                </c:pt>
                <c:pt idx="23">
                  <c:v>40.56655551345704</c:v>
                </c:pt>
                <c:pt idx="24">
                  <c:v>38.725814911708973</c:v>
                </c:pt>
                <c:pt idx="25">
                  <c:v>36.802536923252646</c:v>
                </c:pt>
                <c:pt idx="26">
                  <c:v>34.791844860902401</c:v>
                </c:pt>
                <c:pt idx="27">
                  <c:v>32.688502512714166</c:v>
                </c:pt>
                <c:pt idx="28">
                  <c:v>30.486882226459656</c:v>
                </c:pt>
                <c:pt idx="29">
                  <c:v>28.180929667005046</c:v>
                </c:pt>
                <c:pt idx="30">
                  <c:v>25.764124846788889</c:v>
                </c:pt>
                <c:pt idx="31">
                  <c:v>23.229438974991083</c:v>
                </c:pt>
                <c:pt idx="32">
                  <c:v>20.56928660801816</c:v>
                </c:pt>
                <c:pt idx="33">
                  <c:v>17.775472511146404</c:v>
                </c:pt>
                <c:pt idx="34">
                  <c:v>14.83913255688276</c:v>
                </c:pt>
                <c:pt idx="35">
                  <c:v>11.750667887775791</c:v>
                </c:pt>
                <c:pt idx="36">
                  <c:v>8.499671457639792</c:v>
                </c:pt>
                <c:pt idx="37">
                  <c:v>5.0748459325141795</c:v>
                </c:pt>
                <c:pt idx="38">
                  <c:v>1.4639117777150545</c:v>
                </c:pt>
                <c:pt idx="39">
                  <c:v>-2.3464958241731466</c:v>
                </c:pt>
                <c:pt idx="40">
                  <c:v>-6.3709427926200846</c:v>
                </c:pt>
                <c:pt idx="41">
                  <c:v>-10.625326524887399</c:v>
                </c:pt>
                <c:pt idx="42">
                  <c:v>-15.127022943315168</c:v>
                </c:pt>
                <c:pt idx="43">
                  <c:v>-19.895052679609449</c:v>
                </c:pt>
                <c:pt idx="44">
                  <c:v>-24.950269277307896</c:v>
                </c:pt>
                <c:pt idx="45">
                  <c:v>-30.315572788332048</c:v>
                </c:pt>
                <c:pt idx="46">
                  <c:v>-36.016152730118051</c:v>
                </c:pt>
                <c:pt idx="47">
                  <c:v>-42.079765076929789</c:v>
                </c:pt>
                <c:pt idx="48">
                  <c:v>-48.53704880837526</c:v>
                </c:pt>
                <c:pt idx="49">
                  <c:v>-55.421888561851489</c:v>
                </c:pt>
                <c:pt idx="50">
                  <c:v>-62.771831173679601</c:v>
                </c:pt>
                <c:pt idx="51">
                  <c:v>-70.628565396286348</c:v>
                </c:pt>
                <c:pt idx="52">
                  <c:v>-79.038475909232233</c:v>
                </c:pt>
                <c:pt idx="53">
                  <c:v>-88.053284980367863</c:v>
                </c:pt>
                <c:pt idx="54">
                  <c:v>-97.730797881809366</c:v>
                </c:pt>
                <c:pt idx="55">
                  <c:v>-108.13577155411167</c:v>
                </c:pt>
                <c:pt idx="56">
                  <c:v>-119.34093020824827</c:v>
                </c:pt>
                <c:pt idx="57">
                  <c:v>-131.42815677491262</c:v>
                </c:pt>
                <c:pt idx="58">
                  <c:v>-144.48989563464559</c:v>
                </c:pt>
                <c:pt idx="59">
                  <c:v>-158.63081025659818</c:v>
                </c:pt>
                <c:pt idx="60">
                  <c:v>-173.96974971921003</c:v>
                </c:pt>
                <c:pt idx="61">
                  <c:v>-190.6420912182316</c:v>
                </c:pt>
                <c:pt idx="62">
                  <c:v>-208.80254243156992</c:v>
                </c:pt>
                <c:pt idx="63">
                  <c:v>-228.628509138239</c:v>
                </c:pt>
                <c:pt idx="64">
                  <c:v>-250.32416130681992</c:v>
                </c:pt>
                <c:pt idx="65">
                  <c:v>-274.12536705159448</c:v>
                </c:pt>
                <c:pt idx="66">
                  <c:v>-300.30571124289804</c:v>
                </c:pt>
                <c:pt idx="67">
                  <c:v>-329.18387807556155</c:v>
                </c:pt>
                <c:pt idx="68">
                  <c:v>-361.13276001126479</c:v>
                </c:pt>
                <c:pt idx="69">
                  <c:v>-396.59076690222076</c:v>
                </c:pt>
                <c:pt idx="70">
                  <c:v>-436.07595968634109</c:v>
                </c:pt>
                <c:pt idx="71">
                  <c:v>-480.20383847205017</c:v>
                </c:pt>
                <c:pt idx="72">
                  <c:v>-529.70989781005142</c:v>
                </c:pt>
                <c:pt idx="73">
                  <c:v>-585.47845580156695</c:v>
                </c:pt>
                <c:pt idx="74">
                  <c:v>-648.57981793173667</c:v>
                </c:pt>
                <c:pt idx="75">
                  <c:v>-720.31862570261376</c:v>
                </c:pt>
                <c:pt idx="76">
                  <c:v>-802.29737815655051</c:v>
                </c:pt>
                <c:pt idx="77">
                  <c:v>-896.50077785519989</c:v>
                </c:pt>
                <c:pt idx="78">
                  <c:v>-1005.4090202915768</c:v>
                </c:pt>
                <c:pt idx="79">
                  <c:v>-1132.1518639867636</c:v>
                </c:pt>
                <c:pt idx="80">
                  <c:v>-1280.7210188226531</c:v>
                </c:pt>
                <c:pt idx="81">
                  <c:v>-1456.2672938823571</c:v>
                </c:pt>
                <c:pt idx="82">
                  <c:v>-1665.5231404689193</c:v>
                </c:pt>
                <c:pt idx="83">
                  <c:v>-1917.4143679522656</c:v>
                </c:pt>
                <c:pt idx="84">
                  <c:v>-2223.9634845372511</c:v>
                </c:pt>
                <c:pt idx="85">
                  <c:v>-2601.6535438056635</c:v>
                </c:pt>
                <c:pt idx="86">
                  <c:v>-3073.5390223121358</c:v>
                </c:pt>
                <c:pt idx="87">
                  <c:v>-3672.6058805546695</c:v>
                </c:pt>
                <c:pt idx="88">
                  <c:v>-4447.2938400175817</c:v>
                </c:pt>
                <c:pt idx="89">
                  <c:v>-5470.9123736361062</c:v>
                </c:pt>
                <c:pt idx="90">
                  <c:v>-6858.3979025878052</c:v>
                </c:pt>
                <c:pt idx="91">
                  <c:v>-8797.6790750131604</c:v>
                </c:pt>
                <c:pt idx="92">
                  <c:v>-11612.042053422114</c:v>
                </c:pt>
                <c:pt idx="93">
                  <c:v>-15893.634467495434</c:v>
                </c:pt>
                <c:pt idx="94">
                  <c:v>-22816.92491638174</c:v>
                </c:pt>
                <c:pt idx="95">
                  <c:v>-34968.127964058869</c:v>
                </c:pt>
                <c:pt idx="96">
                  <c:v>-58924.99328144193</c:v>
                </c:pt>
                <c:pt idx="97">
                  <c:v>-115394.06440403854</c:v>
                </c:pt>
                <c:pt idx="98">
                  <c:v>-297367.32602076832</c:v>
                </c:pt>
                <c:pt idx="99">
                  <c:v>-1499041.3828380289</c:v>
                </c:pt>
                <c:pt idx="100">
                  <c:v>0</c:v>
                </c:pt>
              </c:numCache>
            </c:numRef>
          </c:yVal>
          <c:smooth val="1"/>
          <c:extLst>
            <c:ext xmlns:c16="http://schemas.microsoft.com/office/drawing/2014/chart" uri="{C3380CC4-5D6E-409C-BE32-E72D297353CC}">
              <c16:uniqueId val="{00000003-5E39-4F1E-9FF2-7456F016F9C5}"/>
            </c:ext>
          </c:extLst>
        </c:ser>
        <c:ser>
          <c:idx val="4"/>
          <c:order val="4"/>
          <c:tx>
            <c:strRef>
              <c:f>Diagram!$F$7</c:f>
              <c:strCache>
                <c:ptCount val="1"/>
                <c:pt idx="0">
                  <c:v>Kq20</c:v>
                </c:pt>
              </c:strCache>
            </c:strRef>
          </c:tx>
          <c:spPr>
            <a:ln w="25400" cap="rnd">
              <a:solidFill>
                <a:schemeClr val="accent5">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Diagram!$F$8:$F$108</c:f>
              <c:numCache>
                <c:formatCode>0.00</c:formatCode>
                <c:ptCount val="101"/>
                <c:pt idx="1">
                  <c:v>336.33766549296752</c:v>
                </c:pt>
                <c:pt idx="2">
                  <c:v>211.87945231354527</c:v>
                </c:pt>
                <c:pt idx="3">
                  <c:v>161.69428451180974</c:v>
                </c:pt>
                <c:pt idx="4">
                  <c:v>133.4756910050163</c:v>
                </c:pt>
                <c:pt idx="5">
                  <c:v>115.0258635908735</c:v>
                </c:pt>
                <c:pt idx="6">
                  <c:v>101.86101635205988</c:v>
                </c:pt>
                <c:pt idx="7">
                  <c:v>91.912972608909527</c:v>
                </c:pt>
                <c:pt idx="8">
                  <c:v>84.08441637324195</c:v>
                </c:pt>
                <c:pt idx="9">
                  <c:v>77.73450411944053</c:v>
                </c:pt>
                <c:pt idx="10">
                  <c:v>72.461753410238884</c:v>
                </c:pt>
                <c:pt idx="11">
                  <c:v>68.000751978629296</c:v>
                </c:pt>
                <c:pt idx="12">
                  <c:v>64.168419332823035</c:v>
                </c:pt>
                <c:pt idx="13">
                  <c:v>60.834032281587376</c:v>
                </c:pt>
                <c:pt idx="14">
                  <c:v>57.901544474187986</c:v>
                </c:pt>
                <c:pt idx="15">
                  <c:v>55.298667446058666</c:v>
                </c:pt>
                <c:pt idx="16">
                  <c:v>52.969863078386311</c:v>
                </c:pt>
                <c:pt idx="17">
                  <c:v>50.871696913354995</c:v>
                </c:pt>
                <c:pt idx="18">
                  <c:v>48.969669021611409</c:v>
                </c:pt>
                <c:pt idx="19">
                  <c:v>47.235999006774968</c:v>
                </c:pt>
                <c:pt idx="20">
                  <c:v>45.64804421692579</c:v>
                </c:pt>
                <c:pt idx="21">
                  <c:v>44.187148416958777</c:v>
                </c:pt>
                <c:pt idx="22">
                  <c:v>42.837789413277733</c:v>
                </c:pt>
                <c:pt idx="23">
                  <c:v>41.586938303296151</c:v>
                </c:pt>
                <c:pt idx="24">
                  <c:v>40.423571127952428</c:v>
                </c:pt>
                <c:pt idx="25">
                  <c:v>39.338291997221695</c:v>
                </c:pt>
                <c:pt idx="26">
                  <c:v>38.323038910778074</c:v>
                </c:pt>
                <c:pt idx="27">
                  <c:v>37.37085172144085</c:v>
                </c:pt>
                <c:pt idx="28">
                  <c:v>36.475687352226828</c:v>
                </c:pt>
                <c:pt idx="29">
                  <c:v>35.632271338135936</c:v>
                </c:pt>
                <c:pt idx="30">
                  <c:v>34.83597757321283</c:v>
                </c:pt>
                <c:pt idx="31">
                  <c:v>34.08273016290633</c:v>
                </c:pt>
                <c:pt idx="32">
                  <c:v>33.368922751254054</c:v>
                </c:pt>
                <c:pt idx="33">
                  <c:v>32.691351773919578</c:v>
                </c:pt>
                <c:pt idx="34">
                  <c:v>32.047160892504003</c:v>
                </c:pt>
                <c:pt idx="35">
                  <c:v>31.433794469757856</c:v>
                </c:pt>
                <c:pt idx="36">
                  <c:v>30.848958403356548</c:v>
                </c:pt>
                <c:pt idx="37">
                  <c:v>30.290586986141971</c:v>
                </c:pt>
                <c:pt idx="38">
                  <c:v>29.756814730724543</c:v>
                </c:pt>
                <c:pt idx="39">
                  <c:v>29.245952306062115</c:v>
                </c:pt>
                <c:pt idx="40">
                  <c:v>28.756465897718371</c:v>
                </c:pt>
                <c:pt idx="41">
                  <c:v>28.286959432754404</c:v>
                </c:pt>
                <c:pt idx="42">
                  <c:v>27.836159212677646</c:v>
                </c:pt>
                <c:pt idx="43">
                  <c:v>27.402900579606069</c:v>
                </c:pt>
                <c:pt idx="44">
                  <c:v>26.986116306376186</c:v>
                </c:pt>
                <c:pt idx="45">
                  <c:v>26.584826454216763</c:v>
                </c:pt>
                <c:pt idx="46">
                  <c:v>26.198129484501102</c:v>
                </c:pt>
                <c:pt idx="47">
                  <c:v>25.825194446042246</c:v>
                </c:pt>
                <c:pt idx="48">
                  <c:v>25.465254088014952</c:v>
                </c:pt>
                <c:pt idx="49">
                  <c:v>25.117598772126779</c:v>
                </c:pt>
                <c:pt idx="50">
                  <c:v>24.781571077105326</c:v>
                </c:pt>
                <c:pt idx="51">
                  <c:v>24.456561004698312</c:v>
                </c:pt>
                <c:pt idx="52">
                  <c:v>24.142001709814785</c:v>
                </c:pt>
                <c:pt idx="53">
                  <c:v>23.837365688664271</c:v>
                </c:pt>
                <c:pt idx="54">
                  <c:v>23.542161368171683</c:v>
                </c:pt>
                <c:pt idx="55">
                  <c:v>23.255930047876777</c:v>
                </c:pt>
                <c:pt idx="56">
                  <c:v>22.978243152227368</c:v>
                </c:pt>
                <c:pt idx="57">
                  <c:v>22.708699756854127</c:v>
                </c:pt>
                <c:pt idx="58">
                  <c:v>22.446924357241613</c:v>
                </c:pt>
                <c:pt idx="59">
                  <c:v>22.192564852327148</c:v>
                </c:pt>
                <c:pt idx="60">
                  <c:v>21.945290719078262</c:v>
                </c:pt>
                <c:pt idx="61">
                  <c:v>21.704791357118484</c:v>
                </c:pt>
                <c:pt idx="62">
                  <c:v>21.470774585066305</c:v>
                </c:pt>
                <c:pt idx="63">
                  <c:v>21.242965272489489</c:v>
                </c:pt>
                <c:pt idx="64">
                  <c:v>21.021104093310473</c:v>
                </c:pt>
                <c:pt idx="65">
                  <c:v>20.804946388173619</c:v>
                </c:pt>
                <c:pt idx="66">
                  <c:v>20.594261124739692</c:v>
                </c:pt>
                <c:pt idx="67">
                  <c:v>20.38882994613876</c:v>
                </c:pt>
                <c:pt idx="68">
                  <c:v>20.188446298916784</c:v>
                </c:pt>
                <c:pt idx="69">
                  <c:v>19.992914632776529</c:v>
                </c:pt>
                <c:pt idx="70">
                  <c:v>19.80204966525849</c:v>
                </c:pt>
                <c:pt idx="71">
                  <c:v>19.615675705249664</c:v>
                </c:pt>
                <c:pt idx="72">
                  <c:v>19.433626029860118</c:v>
                </c:pt>
                <c:pt idx="73">
                  <c:v>19.255742309782445</c:v>
                </c:pt>
                <c:pt idx="74">
                  <c:v>19.081874078755988</c:v>
                </c:pt>
                <c:pt idx="75">
                  <c:v>18.91187824320679</c:v>
                </c:pt>
                <c:pt idx="76">
                  <c:v>18.745618628530856</c:v>
                </c:pt>
                <c:pt idx="77">
                  <c:v>18.582965558841597</c:v>
                </c:pt>
                <c:pt idx="78">
                  <c:v>18.423795467314584</c:v>
                </c:pt>
                <c:pt idx="79">
                  <c:v>18.267990534542314</c:v>
                </c:pt>
                <c:pt idx="80">
                  <c:v>18.115438352559725</c:v>
                </c:pt>
                <c:pt idx="81">
                  <c:v>17.966031612423301</c:v>
                </c:pt>
                <c:pt idx="82">
                  <c:v>17.819667813424811</c:v>
                </c:pt>
                <c:pt idx="83">
                  <c:v>17.676248992198328</c:v>
                </c:pt>
                <c:pt idx="84">
                  <c:v>17.535681470138826</c:v>
                </c:pt>
                <c:pt idx="85">
                  <c:v>17.397875617692836</c:v>
                </c:pt>
                <c:pt idx="86">
                  <c:v>17.262745634211065</c:v>
                </c:pt>
                <c:pt idx="87">
                  <c:v>17.130209342167849</c:v>
                </c:pt>
                <c:pt idx="88">
                  <c:v>17.000187994657313</c:v>
                </c:pt>
                <c:pt idx="89">
                  <c:v>16.872606095169434</c:v>
                </c:pt>
                <c:pt idx="90">
                  <c:v>16.747391228734894</c:v>
                </c:pt>
                <c:pt idx="91">
                  <c:v>16.624473903604365</c:v>
                </c:pt>
                <c:pt idx="92">
                  <c:v>16.503787402697231</c:v>
                </c:pt>
                <c:pt idx="93">
                  <c:v>16.385267644118326</c:v>
                </c:pt>
                <c:pt idx="94">
                  <c:v>16.268853050098389</c:v>
                </c:pt>
                <c:pt idx="95">
                  <c:v>16.154484423765904</c:v>
                </c:pt>
                <c:pt idx="96">
                  <c:v>16.042104833205755</c:v>
                </c:pt>
                <c:pt idx="97">
                  <c:v>15.931659502302793</c:v>
                </c:pt>
                <c:pt idx="98">
                  <c:v>15.823095707908069</c:v>
                </c:pt>
                <c:pt idx="99">
                  <c:v>15.716362682901277</c:v>
                </c:pt>
                <c:pt idx="100">
                  <c:v>15.61141152475547</c:v>
                </c:pt>
              </c:numCache>
            </c:numRef>
          </c:yVal>
          <c:smooth val="1"/>
          <c:extLst>
            <c:ext xmlns:c16="http://schemas.microsoft.com/office/drawing/2014/chart" uri="{C3380CC4-5D6E-409C-BE32-E72D297353CC}">
              <c16:uniqueId val="{00000004-5E39-4F1E-9FF2-7456F016F9C5}"/>
            </c:ext>
          </c:extLst>
        </c:ser>
        <c:ser>
          <c:idx val="5"/>
          <c:order val="5"/>
          <c:tx>
            <c:strRef>
              <c:f>Diagram!$G$7</c:f>
              <c:strCache>
                <c:ptCount val="1"/>
                <c:pt idx="0">
                  <c:v>Kq21</c:v>
                </c:pt>
              </c:strCache>
            </c:strRef>
          </c:tx>
          <c:spPr>
            <a:ln w="25400" cap="rnd">
              <a:solidFill>
                <a:schemeClr val="accent2">
                  <a:lumMod val="75000"/>
                </a:schemeClr>
              </a:solidFill>
              <a:prstDash val="sys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Diagram!$G$8:$G$108</c:f>
              <c:numCache>
                <c:formatCode>0.00</c:formatCode>
                <c:ptCount val="101"/>
                <c:pt idx="1">
                  <c:v>66.935613262975664</c:v>
                </c:pt>
                <c:pt idx="2">
                  <c:v>66.143004474263833</c:v>
                </c:pt>
                <c:pt idx="3">
                  <c:v>65.322971174627156</c:v>
                </c:pt>
                <c:pt idx="4">
                  <c:v>64.474266874862664</c:v>
                </c:pt>
                <c:pt idx="5">
                  <c:v>63.595574618299572</c:v>
                </c:pt>
                <c:pt idx="6">
                  <c:v>62.685502199511049</c:v>
                </c:pt>
                <c:pt idx="7">
                  <c:v>61.742577003324215</c:v>
                </c:pt>
                <c:pt idx="8">
                  <c:v>60.765240429488067</c:v>
                </c:pt>
                <c:pt idx="9">
                  <c:v>59.751841864781497</c:v>
                </c:pt>
                <c:pt idx="10">
                  <c:v>58.700632160348782</c:v>
                </c:pt>
                <c:pt idx="11">
                  <c:v>57.609756567592726</c:v>
                </c:pt>
                <c:pt idx="12">
                  <c:v>56.477247080967906</c:v>
                </c:pt>
                <c:pt idx="13">
                  <c:v>55.301014130432144</c:v>
                </c:pt>
                <c:pt idx="14">
                  <c:v>54.078837560055248</c:v>
                </c:pt>
                <c:pt idx="15">
                  <c:v>52.808356822256627</c:v>
                </c:pt>
                <c:pt idx="16">
                  <c:v>51.487060309246012</c:v>
                </c:pt>
                <c:pt idx="17">
                  <c:v>50.112273734353053</c:v>
                </c:pt>
                <c:pt idx="18">
                  <c:v>48.681147465911046</c:v>
                </c:pt>
                <c:pt idx="19">
                  <c:v>47.190642705057776</c:v>
                </c:pt>
                <c:pt idx="20">
                  <c:v>45.637516386032708</c:v>
                </c:pt>
                <c:pt idx="21">
                  <c:v>44.018304663089381</c:v>
                </c:pt>
                <c:pt idx="22">
                  <c:v>42.329304831742718</c:v>
                </c:pt>
                <c:pt idx="23">
                  <c:v>40.56655551345704</c:v>
                </c:pt>
                <c:pt idx="24">
                  <c:v>38.725814911708973</c:v>
                </c:pt>
                <c:pt idx="25">
                  <c:v>36.802536923252646</c:v>
                </c:pt>
                <c:pt idx="26">
                  <c:v>34.791844860902401</c:v>
                </c:pt>
                <c:pt idx="27">
                  <c:v>32.688502512714166</c:v>
                </c:pt>
                <c:pt idx="28">
                  <c:v>30.486882226459656</c:v>
                </c:pt>
                <c:pt idx="29">
                  <c:v>28.180929667005046</c:v>
                </c:pt>
                <c:pt idx="30">
                  <c:v>25.764124846788889</c:v>
                </c:pt>
                <c:pt idx="31">
                  <c:v>23.229438974991083</c:v>
                </c:pt>
                <c:pt idx="32">
                  <c:v>20.56928660801816</c:v>
                </c:pt>
                <c:pt idx="33">
                  <c:v>17.775472511146404</c:v>
                </c:pt>
                <c:pt idx="34">
                  <c:v>14.83913255688276</c:v>
                </c:pt>
                <c:pt idx="35">
                  <c:v>11.750667887775791</c:v>
                </c:pt>
                <c:pt idx="36">
                  <c:v>8.499671457639792</c:v>
                </c:pt>
                <c:pt idx="37">
                  <c:v>5.0748459325141795</c:v>
                </c:pt>
                <c:pt idx="38">
                  <c:v>1.4639117777150545</c:v>
                </c:pt>
                <c:pt idx="39">
                  <c:v>-2.3464958241731466</c:v>
                </c:pt>
                <c:pt idx="40">
                  <c:v>-6.3709427926200846</c:v>
                </c:pt>
                <c:pt idx="41">
                  <c:v>-10.625326524887399</c:v>
                </c:pt>
                <c:pt idx="42">
                  <c:v>-15.127022943315168</c:v>
                </c:pt>
                <c:pt idx="43">
                  <c:v>-19.895052679609449</c:v>
                </c:pt>
                <c:pt idx="44">
                  <c:v>-24.950269277307896</c:v>
                </c:pt>
                <c:pt idx="45">
                  <c:v>-30.315572788332048</c:v>
                </c:pt>
                <c:pt idx="46">
                  <c:v>-36.016152730118051</c:v>
                </c:pt>
                <c:pt idx="47">
                  <c:v>-42.079765076929789</c:v>
                </c:pt>
                <c:pt idx="48">
                  <c:v>-48.53704880837526</c:v>
                </c:pt>
                <c:pt idx="49">
                  <c:v>-55.421888561851489</c:v>
                </c:pt>
                <c:pt idx="50">
                  <c:v>-62.771831173679601</c:v>
                </c:pt>
                <c:pt idx="51">
                  <c:v>-70.628565396286348</c:v>
                </c:pt>
                <c:pt idx="52">
                  <c:v>-79.038475909232233</c:v>
                </c:pt>
                <c:pt idx="53">
                  <c:v>-88.053284980367863</c:v>
                </c:pt>
                <c:pt idx="54">
                  <c:v>-97.730797881809366</c:v>
                </c:pt>
                <c:pt idx="55">
                  <c:v>-108.13577155411167</c:v>
                </c:pt>
                <c:pt idx="56">
                  <c:v>-119.34093020824827</c:v>
                </c:pt>
                <c:pt idx="57">
                  <c:v>-131.42815677491262</c:v>
                </c:pt>
                <c:pt idx="58">
                  <c:v>-144.48989563464559</c:v>
                </c:pt>
                <c:pt idx="59">
                  <c:v>-158.63081025659818</c:v>
                </c:pt>
                <c:pt idx="60">
                  <c:v>-173.96974971921003</c:v>
                </c:pt>
                <c:pt idx="61">
                  <c:v>-190.6420912182316</c:v>
                </c:pt>
                <c:pt idx="62">
                  <c:v>-208.80254243156992</c:v>
                </c:pt>
                <c:pt idx="63">
                  <c:v>-228.628509138239</c:v>
                </c:pt>
                <c:pt idx="64">
                  <c:v>-250.32416130681992</c:v>
                </c:pt>
                <c:pt idx="65">
                  <c:v>-274.12536705159448</c:v>
                </c:pt>
                <c:pt idx="66">
                  <c:v>-300.30571124289804</c:v>
                </c:pt>
                <c:pt idx="67">
                  <c:v>-329.18387807556155</c:v>
                </c:pt>
                <c:pt idx="68">
                  <c:v>-361.13276001126479</c:v>
                </c:pt>
                <c:pt idx="69">
                  <c:v>-396.59076690222076</c:v>
                </c:pt>
                <c:pt idx="70">
                  <c:v>-436.07595968634109</c:v>
                </c:pt>
                <c:pt idx="71">
                  <c:v>-480.20383847205017</c:v>
                </c:pt>
                <c:pt idx="72">
                  <c:v>-529.70989781005142</c:v>
                </c:pt>
                <c:pt idx="73">
                  <c:v>-585.47845580156695</c:v>
                </c:pt>
                <c:pt idx="74">
                  <c:v>-648.57981793173667</c:v>
                </c:pt>
                <c:pt idx="75">
                  <c:v>-720.31862570261376</c:v>
                </c:pt>
                <c:pt idx="76">
                  <c:v>-802.29737815655051</c:v>
                </c:pt>
                <c:pt idx="77">
                  <c:v>-896.50077785519989</c:v>
                </c:pt>
                <c:pt idx="78">
                  <c:v>-1005.4090202915768</c:v>
                </c:pt>
                <c:pt idx="79">
                  <c:v>-1132.1518639867636</c:v>
                </c:pt>
                <c:pt idx="80">
                  <c:v>-1280.7210188226531</c:v>
                </c:pt>
                <c:pt idx="81">
                  <c:v>-1456.2672938823571</c:v>
                </c:pt>
                <c:pt idx="82">
                  <c:v>-1665.5231404689193</c:v>
                </c:pt>
                <c:pt idx="83">
                  <c:v>-1917.4143679522656</c:v>
                </c:pt>
                <c:pt idx="84">
                  <c:v>-2223.9634845372511</c:v>
                </c:pt>
                <c:pt idx="85">
                  <c:v>-2601.6535438056635</c:v>
                </c:pt>
                <c:pt idx="86">
                  <c:v>-3073.5390223121358</c:v>
                </c:pt>
                <c:pt idx="87">
                  <c:v>-3672.6058805546695</c:v>
                </c:pt>
                <c:pt idx="88">
                  <c:v>-4447.2938400175817</c:v>
                </c:pt>
                <c:pt idx="89">
                  <c:v>-5470.9123736361062</c:v>
                </c:pt>
                <c:pt idx="90">
                  <c:v>-6858.3979025878052</c:v>
                </c:pt>
                <c:pt idx="91">
                  <c:v>-8797.6790750131604</c:v>
                </c:pt>
                <c:pt idx="92">
                  <c:v>-11612.042053422114</c:v>
                </c:pt>
                <c:pt idx="93">
                  <c:v>-15893.634467495434</c:v>
                </c:pt>
                <c:pt idx="94">
                  <c:v>-22816.92491638174</c:v>
                </c:pt>
                <c:pt idx="95">
                  <c:v>-34968.127964058869</c:v>
                </c:pt>
                <c:pt idx="96">
                  <c:v>-58924.99328144193</c:v>
                </c:pt>
                <c:pt idx="97">
                  <c:v>-115394.06440403854</c:v>
                </c:pt>
                <c:pt idx="98">
                  <c:v>-297367.32602076832</c:v>
                </c:pt>
                <c:pt idx="99">
                  <c:v>-1499041.3828380289</c:v>
                </c:pt>
                <c:pt idx="100">
                  <c:v>0</c:v>
                </c:pt>
              </c:numCache>
            </c:numRef>
          </c:yVal>
          <c:smooth val="1"/>
          <c:extLst>
            <c:ext xmlns:c16="http://schemas.microsoft.com/office/drawing/2014/chart" uri="{C3380CC4-5D6E-409C-BE32-E72D297353CC}">
              <c16:uniqueId val="{00000005-5E39-4F1E-9FF2-7456F016F9C5}"/>
            </c:ext>
          </c:extLst>
        </c:ser>
        <c:ser>
          <c:idx val="6"/>
          <c:order val="6"/>
          <c:tx>
            <c:strRef>
              <c:f>Diagram!$H$7</c:f>
              <c:strCache>
                <c:ptCount val="1"/>
                <c:pt idx="0">
                  <c:v>km0</c:v>
                </c:pt>
              </c:strCache>
            </c:strRef>
          </c:tx>
          <c:spPr>
            <a:ln w="12700" cap="rnd">
              <a:solidFill>
                <a:srgbClr val="FF0000"/>
              </a:solidFill>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Diagram!$H$8:$H$108</c:f>
              <c:numCache>
                <c:formatCode>0.00</c:formatCode>
                <c:ptCount val="101"/>
                <c:pt idx="0">
                  <c:v>76.923076923076934</c:v>
                </c:pt>
                <c:pt idx="1">
                  <c:v>75.358974358974365</c:v>
                </c:pt>
                <c:pt idx="2">
                  <c:v>73.79487179487181</c:v>
                </c:pt>
                <c:pt idx="3">
                  <c:v>72.230769230769241</c:v>
                </c:pt>
                <c:pt idx="4">
                  <c:v>70.666666666666671</c:v>
                </c:pt>
                <c:pt idx="5">
                  <c:v>69.102564102564116</c:v>
                </c:pt>
                <c:pt idx="6">
                  <c:v>67.538461538461547</c:v>
                </c:pt>
                <c:pt idx="7">
                  <c:v>65.974358974358978</c:v>
                </c:pt>
                <c:pt idx="8">
                  <c:v>64.410256410256423</c:v>
                </c:pt>
                <c:pt idx="9">
                  <c:v>62.846153846153854</c:v>
                </c:pt>
                <c:pt idx="10">
                  <c:v>61.282051282051292</c:v>
                </c:pt>
                <c:pt idx="11">
                  <c:v>59.71794871794873</c:v>
                </c:pt>
                <c:pt idx="12">
                  <c:v>58.15384615384616</c:v>
                </c:pt>
                <c:pt idx="13">
                  <c:v>56.589743589743605</c:v>
                </c:pt>
                <c:pt idx="14">
                  <c:v>55.025641025641036</c:v>
                </c:pt>
                <c:pt idx="15">
                  <c:v>53.461538461538474</c:v>
                </c:pt>
                <c:pt idx="16">
                  <c:v>51.897435897435912</c:v>
                </c:pt>
                <c:pt idx="17">
                  <c:v>50.333333333333343</c:v>
                </c:pt>
                <c:pt idx="18">
                  <c:v>48.769230769230781</c:v>
                </c:pt>
                <c:pt idx="19">
                  <c:v>47.205128205128219</c:v>
                </c:pt>
                <c:pt idx="20">
                  <c:v>45.641025641025649</c:v>
                </c:pt>
                <c:pt idx="21">
                  <c:v>44.076923076923087</c:v>
                </c:pt>
                <c:pt idx="22">
                  <c:v>42.512820512820525</c:v>
                </c:pt>
                <c:pt idx="23">
                  <c:v>40.948717948717963</c:v>
                </c:pt>
                <c:pt idx="24">
                  <c:v>39.384615384615394</c:v>
                </c:pt>
                <c:pt idx="25">
                  <c:v>37.820512820512832</c:v>
                </c:pt>
                <c:pt idx="26">
                  <c:v>36.25641025641027</c:v>
                </c:pt>
                <c:pt idx="27">
                  <c:v>34.692307692307701</c:v>
                </c:pt>
                <c:pt idx="28">
                  <c:v>33.128205128205138</c:v>
                </c:pt>
                <c:pt idx="29">
                  <c:v>31.564102564102576</c:v>
                </c:pt>
                <c:pt idx="30">
                  <c:v>30.000000000000014</c:v>
                </c:pt>
                <c:pt idx="31">
                  <c:v>28.435897435897445</c:v>
                </c:pt>
                <c:pt idx="32">
                  <c:v>26.871794871794883</c:v>
                </c:pt>
                <c:pt idx="33">
                  <c:v>25.307692307692321</c:v>
                </c:pt>
                <c:pt idx="34">
                  <c:v>23.743589743589752</c:v>
                </c:pt>
                <c:pt idx="35">
                  <c:v>22.17948717948719</c:v>
                </c:pt>
                <c:pt idx="36">
                  <c:v>20.615384615384627</c:v>
                </c:pt>
                <c:pt idx="37">
                  <c:v>19.051282051282065</c:v>
                </c:pt>
                <c:pt idx="38">
                  <c:v>17.487179487179496</c:v>
                </c:pt>
                <c:pt idx="39">
                  <c:v>15.923076923076934</c:v>
                </c:pt>
                <c:pt idx="40">
                  <c:v>14.358974358974372</c:v>
                </c:pt>
                <c:pt idx="41">
                  <c:v>12.79487179487181</c:v>
                </c:pt>
                <c:pt idx="42">
                  <c:v>11.230769230769241</c:v>
                </c:pt>
                <c:pt idx="43">
                  <c:v>9.6666666666666714</c:v>
                </c:pt>
                <c:pt idx="44">
                  <c:v>8.1025641025641164</c:v>
                </c:pt>
                <c:pt idx="45">
                  <c:v>6.5384615384615472</c:v>
                </c:pt>
                <c:pt idx="46">
                  <c:v>4.9743589743589922</c:v>
                </c:pt>
                <c:pt idx="47">
                  <c:v>3.410256410256423</c:v>
                </c:pt>
                <c:pt idx="48">
                  <c:v>1.8461538461538538</c:v>
                </c:pt>
                <c:pt idx="49">
                  <c:v>0.28205128205129881</c:v>
                </c:pt>
                <c:pt idx="50">
                  <c:v>-1.2820512820512704</c:v>
                </c:pt>
                <c:pt idx="51">
                  <c:v>-2.8461538461538396</c:v>
                </c:pt>
                <c:pt idx="52">
                  <c:v>-4.4102564102563946</c:v>
                </c:pt>
                <c:pt idx="53">
                  <c:v>-5.9743589743589638</c:v>
                </c:pt>
                <c:pt idx="54">
                  <c:v>-7.538461538461533</c:v>
                </c:pt>
                <c:pt idx="55">
                  <c:v>-9.102564102564088</c:v>
                </c:pt>
                <c:pt idx="56">
                  <c:v>-10.666666666666657</c:v>
                </c:pt>
                <c:pt idx="57">
                  <c:v>-12.230769230769226</c:v>
                </c:pt>
                <c:pt idx="58">
                  <c:v>-13.794871794871781</c:v>
                </c:pt>
                <c:pt idx="59">
                  <c:v>-15.358974358974351</c:v>
                </c:pt>
                <c:pt idx="60">
                  <c:v>-16.923076923076906</c:v>
                </c:pt>
                <c:pt idx="61">
                  <c:v>-18.487179487179475</c:v>
                </c:pt>
                <c:pt idx="62">
                  <c:v>-20.051282051282044</c:v>
                </c:pt>
                <c:pt idx="63">
                  <c:v>-21.615384615384599</c:v>
                </c:pt>
                <c:pt idx="64">
                  <c:v>-23.179487179487168</c:v>
                </c:pt>
                <c:pt idx="65">
                  <c:v>-24.743589743589737</c:v>
                </c:pt>
                <c:pt idx="66">
                  <c:v>-26.307692307692292</c:v>
                </c:pt>
                <c:pt idx="67">
                  <c:v>-27.871794871794862</c:v>
                </c:pt>
                <c:pt idx="68">
                  <c:v>-29.435897435897431</c:v>
                </c:pt>
                <c:pt idx="69">
                  <c:v>-30.999999999999986</c:v>
                </c:pt>
                <c:pt idx="70">
                  <c:v>-32.564102564102555</c:v>
                </c:pt>
                <c:pt idx="71">
                  <c:v>-34.12820512820511</c:v>
                </c:pt>
                <c:pt idx="72">
                  <c:v>-35.692307692307679</c:v>
                </c:pt>
                <c:pt idx="73">
                  <c:v>-37.256410256410248</c:v>
                </c:pt>
                <c:pt idx="74">
                  <c:v>-38.820512820512803</c:v>
                </c:pt>
                <c:pt idx="75">
                  <c:v>-40.384615384615373</c:v>
                </c:pt>
                <c:pt idx="76">
                  <c:v>-41.948717948717942</c:v>
                </c:pt>
                <c:pt idx="77">
                  <c:v>-43.512820512820497</c:v>
                </c:pt>
                <c:pt idx="78">
                  <c:v>-45.076923076923066</c:v>
                </c:pt>
                <c:pt idx="79">
                  <c:v>-46.641025641025635</c:v>
                </c:pt>
                <c:pt idx="80">
                  <c:v>-48.20512820512819</c:v>
                </c:pt>
                <c:pt idx="81">
                  <c:v>-49.769230769230759</c:v>
                </c:pt>
                <c:pt idx="82">
                  <c:v>-51.333333333333314</c:v>
                </c:pt>
                <c:pt idx="83">
                  <c:v>-52.897435897435884</c:v>
                </c:pt>
                <c:pt idx="84">
                  <c:v>-54.461538461538453</c:v>
                </c:pt>
                <c:pt idx="85">
                  <c:v>-56.025641025641022</c:v>
                </c:pt>
                <c:pt idx="86">
                  <c:v>-57.589743589743591</c:v>
                </c:pt>
                <c:pt idx="87">
                  <c:v>-59.153846153846132</c:v>
                </c:pt>
                <c:pt idx="88">
                  <c:v>-60.717948717948701</c:v>
                </c:pt>
                <c:pt idx="89">
                  <c:v>-62.28205128205127</c:v>
                </c:pt>
                <c:pt idx="90">
                  <c:v>-63.84615384615384</c:v>
                </c:pt>
                <c:pt idx="91">
                  <c:v>-65.410256410256409</c:v>
                </c:pt>
                <c:pt idx="92">
                  <c:v>-66.97435897435895</c:v>
                </c:pt>
                <c:pt idx="93">
                  <c:v>-68.538461538461519</c:v>
                </c:pt>
                <c:pt idx="94">
                  <c:v>-70.102564102564088</c:v>
                </c:pt>
                <c:pt idx="95">
                  <c:v>-71.666666666666657</c:v>
                </c:pt>
                <c:pt idx="96">
                  <c:v>-73.230769230769226</c:v>
                </c:pt>
                <c:pt idx="97">
                  <c:v>-74.794871794871796</c:v>
                </c:pt>
                <c:pt idx="98">
                  <c:v>-76.358974358974336</c:v>
                </c:pt>
                <c:pt idx="99">
                  <c:v>-77.923076923076906</c:v>
                </c:pt>
                <c:pt idx="100">
                  <c:v>-79.487179487179475</c:v>
                </c:pt>
              </c:numCache>
            </c:numRef>
          </c:yVal>
          <c:smooth val="1"/>
          <c:extLst>
            <c:ext xmlns:c16="http://schemas.microsoft.com/office/drawing/2014/chart" uri="{C3380CC4-5D6E-409C-BE32-E72D297353CC}">
              <c16:uniqueId val="{00000006-5E39-4F1E-9FF2-7456F016F9C5}"/>
            </c:ext>
          </c:extLst>
        </c:ser>
        <c:ser>
          <c:idx val="7"/>
          <c:order val="7"/>
          <c:tx>
            <c:strRef>
              <c:f>Diagram!$I$7</c:f>
              <c:strCache>
                <c:ptCount val="1"/>
                <c:pt idx="0">
                  <c:v>km1</c:v>
                </c:pt>
              </c:strCache>
            </c:strRef>
          </c:tx>
          <c:spPr>
            <a:ln w="12700" cap="rnd">
              <a:solidFill>
                <a:srgbClr val="FF0000"/>
              </a:solidFill>
              <a:prstDash val="dash"/>
              <a:round/>
            </a:ln>
            <a:effectLst/>
          </c:spPr>
          <c:marker>
            <c:symbol val="none"/>
          </c:marker>
          <c:xVal>
            <c:numRef>
              <c:f>Diagram!$A$8:$A$108</c:f>
              <c:numCache>
                <c:formatCode>General</c:formatCode>
                <c:ptCount val="1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numCache>
            </c:numRef>
          </c:xVal>
          <c:yVal>
            <c:numRef>
              <c:f>Diagram!$I$8:$I$108</c:f>
              <c:numCache>
                <c:formatCode>0.00</c:formatCode>
                <c:ptCount val="101"/>
                <c:pt idx="0">
                  <c:v>76.923076923076934</c:v>
                </c:pt>
                <c:pt idx="1">
                  <c:v>75.358974358974365</c:v>
                </c:pt>
                <c:pt idx="2">
                  <c:v>73.79487179487181</c:v>
                </c:pt>
                <c:pt idx="3">
                  <c:v>72.230769230769241</c:v>
                </c:pt>
                <c:pt idx="4">
                  <c:v>70.666666666666671</c:v>
                </c:pt>
                <c:pt idx="5">
                  <c:v>69.102564102564116</c:v>
                </c:pt>
                <c:pt idx="6">
                  <c:v>67.538461538461547</c:v>
                </c:pt>
                <c:pt idx="7">
                  <c:v>65.974358974358978</c:v>
                </c:pt>
                <c:pt idx="8">
                  <c:v>64.410256410256423</c:v>
                </c:pt>
                <c:pt idx="9">
                  <c:v>62.846153846153854</c:v>
                </c:pt>
                <c:pt idx="10">
                  <c:v>61.282051282051292</c:v>
                </c:pt>
                <c:pt idx="11">
                  <c:v>59.71794871794873</c:v>
                </c:pt>
                <c:pt idx="12">
                  <c:v>58.15384615384616</c:v>
                </c:pt>
                <c:pt idx="13">
                  <c:v>56.589743589743605</c:v>
                </c:pt>
                <c:pt idx="14">
                  <c:v>55.025641025641036</c:v>
                </c:pt>
                <c:pt idx="15">
                  <c:v>53.461538461538474</c:v>
                </c:pt>
                <c:pt idx="16">
                  <c:v>51.897435897435912</c:v>
                </c:pt>
                <c:pt idx="17">
                  <c:v>50.333333333333343</c:v>
                </c:pt>
                <c:pt idx="18">
                  <c:v>48.769230769230781</c:v>
                </c:pt>
                <c:pt idx="19">
                  <c:v>47.205128205128219</c:v>
                </c:pt>
                <c:pt idx="20">
                  <c:v>45.641025641025649</c:v>
                </c:pt>
                <c:pt idx="21">
                  <c:v>44.076923076923087</c:v>
                </c:pt>
                <c:pt idx="22">
                  <c:v>42.512820512820525</c:v>
                </c:pt>
                <c:pt idx="23">
                  <c:v>40.948717948717963</c:v>
                </c:pt>
                <c:pt idx="24">
                  <c:v>39.384615384615394</c:v>
                </c:pt>
                <c:pt idx="25">
                  <c:v>37.820512820512832</c:v>
                </c:pt>
                <c:pt idx="26">
                  <c:v>36.25641025641027</c:v>
                </c:pt>
                <c:pt idx="27">
                  <c:v>34.692307692307701</c:v>
                </c:pt>
                <c:pt idx="28">
                  <c:v>33.128205128205138</c:v>
                </c:pt>
                <c:pt idx="29">
                  <c:v>31.564102564102576</c:v>
                </c:pt>
                <c:pt idx="30">
                  <c:v>30.000000000000014</c:v>
                </c:pt>
                <c:pt idx="31">
                  <c:v>28.435897435897445</c:v>
                </c:pt>
                <c:pt idx="32">
                  <c:v>26.871794871794883</c:v>
                </c:pt>
                <c:pt idx="33">
                  <c:v>25.307692307692321</c:v>
                </c:pt>
                <c:pt idx="34">
                  <c:v>23.743589743589752</c:v>
                </c:pt>
                <c:pt idx="35">
                  <c:v>22.17948717948719</c:v>
                </c:pt>
                <c:pt idx="36">
                  <c:v>20.615384615384627</c:v>
                </c:pt>
                <c:pt idx="37">
                  <c:v>19.051282051282065</c:v>
                </c:pt>
                <c:pt idx="38">
                  <c:v>17.487179487179496</c:v>
                </c:pt>
                <c:pt idx="39">
                  <c:v>15.923076923076934</c:v>
                </c:pt>
                <c:pt idx="40">
                  <c:v>14.358974358974372</c:v>
                </c:pt>
                <c:pt idx="41">
                  <c:v>12.79487179487181</c:v>
                </c:pt>
                <c:pt idx="42">
                  <c:v>11.230769230769241</c:v>
                </c:pt>
                <c:pt idx="43">
                  <c:v>9.6666666666666714</c:v>
                </c:pt>
                <c:pt idx="44">
                  <c:v>8.1025641025641164</c:v>
                </c:pt>
                <c:pt idx="45">
                  <c:v>6.5384615384615472</c:v>
                </c:pt>
                <c:pt idx="46">
                  <c:v>4.9743589743589922</c:v>
                </c:pt>
                <c:pt idx="47">
                  <c:v>3.410256410256423</c:v>
                </c:pt>
                <c:pt idx="48">
                  <c:v>1.8461538461538538</c:v>
                </c:pt>
                <c:pt idx="49">
                  <c:v>0.28205128205129881</c:v>
                </c:pt>
                <c:pt idx="50">
                  <c:v>-1.2820512820512704</c:v>
                </c:pt>
                <c:pt idx="51">
                  <c:v>-2.8461538461538396</c:v>
                </c:pt>
                <c:pt idx="52">
                  <c:v>-4.4102564102563946</c:v>
                </c:pt>
                <c:pt idx="53">
                  <c:v>-5.9743589743589638</c:v>
                </c:pt>
                <c:pt idx="54">
                  <c:v>-7.538461538461533</c:v>
                </c:pt>
                <c:pt idx="55">
                  <c:v>-9.102564102564088</c:v>
                </c:pt>
                <c:pt idx="56">
                  <c:v>-10.666666666666657</c:v>
                </c:pt>
                <c:pt idx="57">
                  <c:v>-12.230769230769226</c:v>
                </c:pt>
                <c:pt idx="58">
                  <c:v>-13.794871794871781</c:v>
                </c:pt>
                <c:pt idx="59">
                  <c:v>-15.358974358974351</c:v>
                </c:pt>
                <c:pt idx="60">
                  <c:v>-16.923076923076906</c:v>
                </c:pt>
                <c:pt idx="61">
                  <c:v>-18.487179487179475</c:v>
                </c:pt>
                <c:pt idx="62">
                  <c:v>-20.051282051282044</c:v>
                </c:pt>
                <c:pt idx="63">
                  <c:v>-21.615384615384599</c:v>
                </c:pt>
                <c:pt idx="64">
                  <c:v>-23.179487179487168</c:v>
                </c:pt>
                <c:pt idx="65">
                  <c:v>-24.743589743589737</c:v>
                </c:pt>
                <c:pt idx="66">
                  <c:v>-26.307692307692292</c:v>
                </c:pt>
                <c:pt idx="67">
                  <c:v>-27.871794871794862</c:v>
                </c:pt>
                <c:pt idx="68">
                  <c:v>-29.435897435897431</c:v>
                </c:pt>
                <c:pt idx="69">
                  <c:v>-30.999999999999986</c:v>
                </c:pt>
                <c:pt idx="70">
                  <c:v>-32.564102564102555</c:v>
                </c:pt>
                <c:pt idx="71">
                  <c:v>-34.12820512820511</c:v>
                </c:pt>
                <c:pt idx="72">
                  <c:v>-35.692307692307679</c:v>
                </c:pt>
                <c:pt idx="73">
                  <c:v>-37.256410256410248</c:v>
                </c:pt>
                <c:pt idx="74">
                  <c:v>-38.820512820512803</c:v>
                </c:pt>
                <c:pt idx="75">
                  <c:v>-40.384615384615373</c:v>
                </c:pt>
                <c:pt idx="76">
                  <c:v>-41.948717948717942</c:v>
                </c:pt>
                <c:pt idx="77">
                  <c:v>-43.512820512820497</c:v>
                </c:pt>
                <c:pt idx="78">
                  <c:v>-45.076923076923066</c:v>
                </c:pt>
                <c:pt idx="79">
                  <c:v>-46.641025641025635</c:v>
                </c:pt>
                <c:pt idx="80">
                  <c:v>-48.20512820512819</c:v>
                </c:pt>
                <c:pt idx="81">
                  <c:v>-49.769230769230759</c:v>
                </c:pt>
                <c:pt idx="82">
                  <c:v>-51.333333333333314</c:v>
                </c:pt>
                <c:pt idx="83">
                  <c:v>-52.897435897435884</c:v>
                </c:pt>
                <c:pt idx="84">
                  <c:v>-54.461538461538453</c:v>
                </c:pt>
                <c:pt idx="85">
                  <c:v>-56.025641025641022</c:v>
                </c:pt>
                <c:pt idx="86">
                  <c:v>-57.589743589743591</c:v>
                </c:pt>
                <c:pt idx="87">
                  <c:v>-59.153846153846132</c:v>
                </c:pt>
                <c:pt idx="88">
                  <c:v>-60.717948717948701</c:v>
                </c:pt>
                <c:pt idx="89">
                  <c:v>-62.28205128205127</c:v>
                </c:pt>
                <c:pt idx="90">
                  <c:v>-63.84615384615384</c:v>
                </c:pt>
                <c:pt idx="91">
                  <c:v>-65.410256410256409</c:v>
                </c:pt>
                <c:pt idx="92">
                  <c:v>-66.97435897435895</c:v>
                </c:pt>
                <c:pt idx="93">
                  <c:v>-68.538461538461519</c:v>
                </c:pt>
                <c:pt idx="94">
                  <c:v>-70.102564102564088</c:v>
                </c:pt>
                <c:pt idx="95">
                  <c:v>-71.666666666666657</c:v>
                </c:pt>
                <c:pt idx="96">
                  <c:v>-73.230769230769226</c:v>
                </c:pt>
                <c:pt idx="97">
                  <c:v>-74.794871794871796</c:v>
                </c:pt>
                <c:pt idx="98">
                  <c:v>-76.358974358974336</c:v>
                </c:pt>
                <c:pt idx="99">
                  <c:v>-77.923076923076906</c:v>
                </c:pt>
                <c:pt idx="100">
                  <c:v>-79.487179487179475</c:v>
                </c:pt>
              </c:numCache>
            </c:numRef>
          </c:yVal>
          <c:smooth val="1"/>
          <c:extLst>
            <c:ext xmlns:c16="http://schemas.microsoft.com/office/drawing/2014/chart" uri="{C3380CC4-5D6E-409C-BE32-E72D297353CC}">
              <c16:uniqueId val="{00000007-5E39-4F1E-9FF2-7456F016F9C5}"/>
            </c:ext>
          </c:extLst>
        </c:ser>
        <c:ser>
          <c:idx val="8"/>
          <c:order val="8"/>
          <c:tx>
            <c:strRef>
              <c:f>Diagram!$J$7</c:f>
              <c:strCache>
                <c:ptCount val="1"/>
                <c:pt idx="0">
                  <c:v>Boundaries</c:v>
                </c:pt>
              </c:strCache>
            </c:strRef>
          </c:tx>
          <c:spPr>
            <a:ln w="25400" cap="rnd">
              <a:solidFill>
                <a:schemeClr val="tx1"/>
              </a:solidFill>
              <a:round/>
            </a:ln>
            <a:effectLst/>
          </c:spPr>
          <c:marker>
            <c:symbol val="none"/>
          </c:marker>
          <c:xVal>
            <c:numRef>
              <c:f>Diagram!$J$8:$J$9</c:f>
              <c:numCache>
                <c:formatCode>0.00</c:formatCode>
                <c:ptCount val="2"/>
                <c:pt idx="0">
                  <c:v>100</c:v>
                </c:pt>
                <c:pt idx="1">
                  <c:v>100</c:v>
                </c:pt>
              </c:numCache>
            </c:numRef>
          </c:xVal>
          <c:yVal>
            <c:numRef>
              <c:f>Diagram!$K$8:$K$9</c:f>
              <c:numCache>
                <c:formatCode>0.00</c:formatCode>
                <c:ptCount val="2"/>
                <c:pt idx="0">
                  <c:v>0</c:v>
                </c:pt>
                <c:pt idx="1">
                  <c:v>100</c:v>
                </c:pt>
              </c:numCache>
            </c:numRef>
          </c:yVal>
          <c:smooth val="1"/>
          <c:extLst>
            <c:ext xmlns:c16="http://schemas.microsoft.com/office/drawing/2014/chart" uri="{C3380CC4-5D6E-409C-BE32-E72D297353CC}">
              <c16:uniqueId val="{00000008-5E39-4F1E-9FF2-7456F016F9C5}"/>
            </c:ext>
          </c:extLst>
        </c:ser>
        <c:ser>
          <c:idx val="9"/>
          <c:order val="9"/>
          <c:tx>
            <c:strRef>
              <c:f>Diagram!$J$7</c:f>
              <c:strCache>
                <c:ptCount val="1"/>
                <c:pt idx="0">
                  <c:v>Boundaries</c:v>
                </c:pt>
              </c:strCache>
            </c:strRef>
          </c:tx>
          <c:spPr>
            <a:ln w="19050" cap="rnd">
              <a:solidFill>
                <a:schemeClr val="accent4">
                  <a:lumMod val="60000"/>
                </a:schemeClr>
              </a:solidFill>
              <a:round/>
            </a:ln>
            <a:effectLst/>
          </c:spPr>
          <c:marker>
            <c:symbol val="none"/>
          </c:marker>
          <c:dPt>
            <c:idx val="1"/>
            <c:marker>
              <c:symbol val="none"/>
            </c:marker>
            <c:bubble3D val="0"/>
            <c:spPr>
              <a:ln w="25400" cap="rnd">
                <a:solidFill>
                  <a:schemeClr val="tx1"/>
                </a:solidFill>
                <a:prstDash val="sysDash"/>
                <a:round/>
              </a:ln>
              <a:effectLst/>
            </c:spPr>
            <c:extLst>
              <c:ext xmlns:c16="http://schemas.microsoft.com/office/drawing/2014/chart" uri="{C3380CC4-5D6E-409C-BE32-E72D297353CC}">
                <c16:uniqueId val="{0000000A-5E39-4F1E-9FF2-7456F016F9C5}"/>
              </c:ext>
            </c:extLst>
          </c:dPt>
          <c:xVal>
            <c:numRef>
              <c:f>Diagram!$J$11:$J$12</c:f>
              <c:numCache>
                <c:formatCode>0.00</c:formatCode>
                <c:ptCount val="2"/>
                <c:pt idx="0">
                  <c:v>100</c:v>
                </c:pt>
                <c:pt idx="1">
                  <c:v>100</c:v>
                </c:pt>
              </c:numCache>
            </c:numRef>
          </c:xVal>
          <c:yVal>
            <c:numRef>
              <c:f>Diagram!$K$11:$K$12</c:f>
              <c:numCache>
                <c:formatCode>0.00</c:formatCode>
                <c:ptCount val="2"/>
                <c:pt idx="0">
                  <c:v>0</c:v>
                </c:pt>
                <c:pt idx="1">
                  <c:v>100</c:v>
                </c:pt>
              </c:numCache>
            </c:numRef>
          </c:yVal>
          <c:smooth val="1"/>
          <c:extLst>
            <c:ext xmlns:c16="http://schemas.microsoft.com/office/drawing/2014/chart" uri="{C3380CC4-5D6E-409C-BE32-E72D297353CC}">
              <c16:uniqueId val="{0000000B-5E39-4F1E-9FF2-7456F016F9C5}"/>
            </c:ext>
          </c:extLst>
        </c:ser>
        <c:ser>
          <c:idx val="10"/>
          <c:order val="10"/>
          <c:tx>
            <c:strRef>
              <c:f>Diagram!$J$7</c:f>
              <c:strCache>
                <c:ptCount val="1"/>
                <c:pt idx="0">
                  <c:v>Boundaries</c:v>
                </c:pt>
              </c:strCache>
            </c:strRef>
          </c:tx>
          <c:spPr>
            <a:ln w="25400" cap="rnd">
              <a:solidFill>
                <a:schemeClr val="tx1"/>
              </a:solidFill>
              <a:round/>
            </a:ln>
            <a:effectLst/>
          </c:spPr>
          <c:marker>
            <c:symbol val="none"/>
          </c:marker>
          <c:xVal>
            <c:numRef>
              <c:f>Diagram!$J$14:$J$15</c:f>
              <c:numCache>
                <c:formatCode>0.00</c:formatCode>
                <c:ptCount val="2"/>
                <c:pt idx="0">
                  <c:v>0</c:v>
                </c:pt>
                <c:pt idx="1">
                  <c:v>100</c:v>
                </c:pt>
              </c:numCache>
            </c:numRef>
          </c:xVal>
          <c:yVal>
            <c:numRef>
              <c:f>Diagram!$K$14:$K$15</c:f>
              <c:numCache>
                <c:formatCode>0.00</c:formatCode>
                <c:ptCount val="2"/>
                <c:pt idx="0">
                  <c:v>100</c:v>
                </c:pt>
                <c:pt idx="1">
                  <c:v>100</c:v>
                </c:pt>
              </c:numCache>
            </c:numRef>
          </c:yVal>
          <c:smooth val="1"/>
          <c:extLst>
            <c:ext xmlns:c16="http://schemas.microsoft.com/office/drawing/2014/chart" uri="{C3380CC4-5D6E-409C-BE32-E72D297353CC}">
              <c16:uniqueId val="{0000000C-5E39-4F1E-9FF2-7456F016F9C5}"/>
            </c:ext>
          </c:extLst>
        </c:ser>
        <c:ser>
          <c:idx val="11"/>
          <c:order val="11"/>
          <c:tx>
            <c:strRef>
              <c:f>Diagram!$J$7</c:f>
              <c:strCache>
                <c:ptCount val="1"/>
                <c:pt idx="0">
                  <c:v>Boundaries</c:v>
                </c:pt>
              </c:strCache>
            </c:strRef>
          </c:tx>
          <c:spPr>
            <a:ln w="25400" cap="rnd">
              <a:solidFill>
                <a:schemeClr val="tx1"/>
              </a:solidFill>
              <a:prstDash val="sysDash"/>
              <a:round/>
            </a:ln>
            <a:effectLst/>
          </c:spPr>
          <c:marker>
            <c:symbol val="none"/>
          </c:marker>
          <c:xVal>
            <c:numRef>
              <c:f>Diagram!$J$17:$J$18</c:f>
              <c:numCache>
                <c:formatCode>0.00</c:formatCode>
                <c:ptCount val="2"/>
                <c:pt idx="0">
                  <c:v>0</c:v>
                </c:pt>
                <c:pt idx="1">
                  <c:v>100</c:v>
                </c:pt>
              </c:numCache>
            </c:numRef>
          </c:xVal>
          <c:yVal>
            <c:numRef>
              <c:f>Diagram!$K$17:$K$18</c:f>
              <c:numCache>
                <c:formatCode>0.00</c:formatCode>
                <c:ptCount val="2"/>
                <c:pt idx="0">
                  <c:v>100</c:v>
                </c:pt>
                <c:pt idx="1">
                  <c:v>100</c:v>
                </c:pt>
              </c:numCache>
            </c:numRef>
          </c:yVal>
          <c:smooth val="1"/>
          <c:extLst>
            <c:ext xmlns:c16="http://schemas.microsoft.com/office/drawing/2014/chart" uri="{C3380CC4-5D6E-409C-BE32-E72D297353CC}">
              <c16:uniqueId val="{0000000D-5E39-4F1E-9FF2-7456F016F9C5}"/>
            </c:ext>
          </c:extLst>
        </c:ser>
        <c:dLbls>
          <c:showLegendKey val="0"/>
          <c:showVal val="0"/>
          <c:showCatName val="0"/>
          <c:showSerName val="0"/>
          <c:showPercent val="0"/>
          <c:showBubbleSize val="0"/>
        </c:dLbls>
        <c:axId val="376742640"/>
        <c:axId val="376743200"/>
      </c:scatterChart>
      <c:valAx>
        <c:axId val="376742640"/>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76743200"/>
        <c:crosses val="autoZero"/>
        <c:crossBetween val="midCat"/>
      </c:valAx>
      <c:valAx>
        <c:axId val="37674320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76742640"/>
        <c:crosses val="autoZero"/>
        <c:crossBetween val="midCat"/>
      </c:valAx>
      <c:spPr>
        <a:solidFill>
          <a:schemeClr val="accent4">
            <a:lumMod val="20000"/>
            <a:lumOff val="80000"/>
          </a:schemeClr>
        </a:solidFill>
        <a:ln w="25400">
          <a:solidFill>
            <a:schemeClr val="tx1"/>
          </a:solidFill>
        </a:ln>
        <a:effectLst/>
      </c:spPr>
    </c:plotArea>
    <c:plotVisOnly val="0"/>
    <c:dispBlanksAs val="gap"/>
    <c:showDLblsOverMax val="0"/>
  </c:chart>
  <c:spPr>
    <a:solidFill>
      <a:schemeClr val="bg1"/>
    </a:solid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07694413091509"/>
          <c:y val="5.9023838841065733E-2"/>
          <c:w val="0.78275139557943352"/>
          <c:h val="0.8186000450737041"/>
        </c:manualLayout>
      </c:layout>
      <c:scatterChart>
        <c:scatterStyle val="smoothMarker"/>
        <c:varyColors val="0"/>
        <c:ser>
          <c:idx val="0"/>
          <c:order val="0"/>
          <c:tx>
            <c:strRef>
              <c:f>Diagram!$N$7</c:f>
              <c:strCache>
                <c:ptCount val="1"/>
                <c:pt idx="0">
                  <c:v>X20</c:v>
                </c:pt>
              </c:strCache>
            </c:strRef>
          </c:tx>
          <c:spPr>
            <a:ln w="25400" cap="rnd">
              <a:solidFill>
                <a:schemeClr val="accent5">
                  <a:lumMod val="75000"/>
                </a:schemeClr>
              </a:solidFill>
              <a:round/>
            </a:ln>
            <a:effectLst/>
          </c:spPr>
          <c:marker>
            <c:symbol val="none"/>
          </c:marker>
          <c:xVal>
            <c:numRef>
              <c:f>Diagram!$M$8:$M$108</c:f>
              <c:numCache>
                <c:formatCode>0.00</c:formatCode>
                <c:ptCount val="101"/>
                <c:pt idx="0">
                  <c:v>0</c:v>
                </c:pt>
                <c:pt idx="1">
                  <c:v>2.0893274366524026</c:v>
                </c:pt>
                <c:pt idx="2">
                  <c:v>4.1186723371160783</c:v>
                </c:pt>
                <c:pt idx="3">
                  <c:v>6.0913983702936552</c:v>
                </c:pt>
                <c:pt idx="4">
                  <c:v>8.0106029614596803</c:v>
                </c:pt>
                <c:pt idx="5">
                  <c:v>9.8791440376124839</c:v>
                </c:pt>
                <c:pt idx="6">
                  <c:v>11.699663549066369</c:v>
                </c:pt>
                <c:pt idx="7">
                  <c:v>13.474608217372909</c:v>
                </c:pt>
                <c:pt idx="8">
                  <c:v>15.206247888627363</c:v>
                </c:pt>
                <c:pt idx="9">
                  <c:v>16.89669181263044</c:v>
                </c:pt>
                <c:pt idx="10">
                  <c:v>18.547903119848378</c:v>
                </c:pt>
                <c:pt idx="11">
                  <c:v>20.161711727752827</c:v>
                </c:pt>
                <c:pt idx="12">
                  <c:v>21.739825874420891</c:v>
                </c:pt>
                <c:pt idx="13">
                  <c:v>23.283842449029368</c:v>
                </c:pt>
                <c:pt idx="14">
                  <c:v>24.795256265117029</c:v>
                </c:pt>
                <c:pt idx="15">
                  <c:v>26.275468402433159</c:v>
                </c:pt>
                <c:pt idx="16">
                  <c:v>27.725793726205847</c:v>
                </c:pt>
                <c:pt idx="17">
                  <c:v>29.147467678231557</c:v>
                </c:pt>
                <c:pt idx="18">
                  <c:v>30.541652421889733</c:v>
                </c:pt>
                <c:pt idx="19">
                  <c:v>31.909442412672824</c:v>
                </c:pt>
                <c:pt idx="20">
                  <c:v>33.251869456810404</c:v>
                </c:pt>
                <c:pt idx="21">
                  <c:v>34.569907312820106</c:v>
                </c:pt>
                <c:pt idx="22">
                  <c:v>35.864475884140703</c:v>
                </c:pt>
                <c:pt idx="23">
                  <c:v>37.136445045234169</c:v>
                </c:pt>
                <c:pt idx="24">
                  <c:v>38.386638138545727</c:v>
                </c:pt>
                <c:pt idx="25">
                  <c:v>39.615835175370925</c:v>
                </c:pt>
                <c:pt idx="26">
                  <c:v>40.824775769902622</c:v>
                </c:pt>
                <c:pt idx="27">
                  <c:v>42.014161832435157</c:v>
                </c:pt>
                <c:pt idx="28">
                  <c:v>43.184660044823666</c:v>
                </c:pt>
                <c:pt idx="29">
                  <c:v>44.336904138772482</c:v>
                </c:pt>
                <c:pt idx="30">
                  <c:v>45.471496995311931</c:v>
                </c:pt>
                <c:pt idx="31">
                  <c:v>46.589012581874876</c:v>
                </c:pt>
                <c:pt idx="32">
                  <c:v>47.689997741665998</c:v>
                </c:pt>
                <c:pt idx="33">
                  <c:v>48.774973848503208</c:v>
                </c:pt>
                <c:pt idx="34">
                  <c:v>49.844438338966597</c:v>
                </c:pt>
                <c:pt idx="35">
                  <c:v>50.898866132505134</c:v>
                </c:pt>
                <c:pt idx="36">
                  <c:v>51.938710949094393</c:v>
                </c:pt>
                <c:pt idx="37">
                  <c:v>52.964406533102462</c:v>
                </c:pt>
                <c:pt idx="38">
                  <c:v>53.976367791184998</c:v>
                </c:pt>
                <c:pt idx="39">
                  <c:v>54.974991851286774</c:v>
                </c:pt>
                <c:pt idx="40">
                  <c:v>55.960659049160661</c:v>
                </c:pt>
                <c:pt idx="41">
                  <c:v>56.933733848220612</c:v>
                </c:pt>
                <c:pt idx="42">
                  <c:v>57.894565698011668</c:v>
                </c:pt>
                <c:pt idx="43">
                  <c:v>58.843489836101405</c:v>
                </c:pt>
                <c:pt idx="44">
                  <c:v>59.780828037767655</c:v>
                </c:pt>
                <c:pt idx="45">
                  <c:v>60.706889317470647</c:v>
                </c:pt>
                <c:pt idx="46">
                  <c:v>61.621970585748869</c:v>
                </c:pt>
                <c:pt idx="47">
                  <c:v>62.526357264864735</c:v>
                </c:pt>
                <c:pt idx="48">
                  <c:v>63.420323866240942</c:v>
                </c:pt>
                <c:pt idx="49">
                  <c:v>64.304134532473384</c:v>
                </c:pt>
                <c:pt idx="50">
                  <c:v>65.178043546472722</c:v>
                </c:pt>
                <c:pt idx="51">
                  <c:v>66.042295810077377</c:v>
                </c:pt>
                <c:pt idx="52">
                  <c:v>66.897127294288836</c:v>
                </c:pt>
                <c:pt idx="53">
                  <c:v>67.742765463107119</c:v>
                </c:pt>
                <c:pt idx="54">
                  <c:v>68.579429672786134</c:v>
                </c:pt>
                <c:pt idx="55">
                  <c:v>69.407331548184999</c:v>
                </c:pt>
                <c:pt idx="56">
                  <c:v>70.226675337761009</c:v>
                </c:pt>
                <c:pt idx="57">
                  <c:v>71.037658248629356</c:v>
                </c:pt>
                <c:pt idx="58">
                  <c:v>71.840470763007389</c:v>
                </c:pt>
                <c:pt idx="59">
                  <c:v>72.635296937259156</c:v>
                </c:pt>
                <c:pt idx="60">
                  <c:v>73.422314684667541</c:v>
                </c:pt>
                <c:pt idx="61">
                  <c:v>74.201696042975158</c:v>
                </c:pt>
                <c:pt idx="62">
                  <c:v>74.973607427660653</c:v>
                </c:pt>
                <c:pt idx="63">
                  <c:v>75.738209871845541</c:v>
                </c:pt>
                <c:pt idx="64">
                  <c:v>76.495659253662964</c:v>
                </c:pt>
                <c:pt idx="65">
                  <c:v>77.246106511860148</c:v>
                </c:pt>
                <c:pt idx="66">
                  <c:v>77.989697850351632</c:v>
                </c:pt>
                <c:pt idx="67">
                  <c:v>78.72657493239106</c:v>
                </c:pt>
                <c:pt idx="68">
                  <c:v>79.456875064981801</c:v>
                </c:pt>
                <c:pt idx="69">
                  <c:v>80.180731374105207</c:v>
                </c:pt>
                <c:pt idx="70">
                  <c:v>80.898272971305516</c:v>
                </c:pt>
                <c:pt idx="71">
                  <c:v>81.609625112133443</c:v>
                </c:pt>
                <c:pt idx="72">
                  <c:v>82.314909346918753</c:v>
                </c:pt>
                <c:pt idx="73">
                  <c:v>83.014243664308381</c:v>
                </c:pt>
                <c:pt idx="74">
                  <c:v>83.70774262798119</c:v>
                </c:pt>
                <c:pt idx="75">
                  <c:v>84.395517506920498</c:v>
                </c:pt>
                <c:pt idx="76">
                  <c:v>85.077676399603661</c:v>
                </c:pt>
                <c:pt idx="77">
                  <c:v>85.754324352443177</c:v>
                </c:pt>
                <c:pt idx="78">
                  <c:v>86.425563472793783</c:v>
                </c:pt>
                <c:pt idx="79">
                  <c:v>87.091493036819699</c:v>
                </c:pt>
                <c:pt idx="80">
                  <c:v>87.75220959249782</c:v>
                </c:pt>
                <c:pt idx="81">
                  <c:v>88.407807058016289</c:v>
                </c:pt>
                <c:pt idx="82">
                  <c:v>89.058376815810817</c:v>
                </c:pt>
                <c:pt idx="83">
                  <c:v>89.704007802467785</c:v>
                </c:pt>
                <c:pt idx="84">
                  <c:v>90.344786594708552</c:v>
                </c:pt>
                <c:pt idx="85">
                  <c:v>90.980797491656674</c:v>
                </c:pt>
                <c:pt idx="86">
                  <c:v>91.612122593577439</c:v>
                </c:pt>
                <c:pt idx="87">
                  <c:v>92.238841877269792</c:v>
                </c:pt>
                <c:pt idx="88">
                  <c:v>92.861033268277254</c:v>
                </c:pt>
                <c:pt idx="89">
                  <c:v>93.478772710077138</c:v>
                </c:pt>
                <c:pt idx="90">
                  <c:v>94.092134230398656</c:v>
                </c:pt>
                <c:pt idx="91">
                  <c:v>94.701190004808254</c:v>
                </c:pt>
                <c:pt idx="92">
                  <c:v>95.306010417697706</c:v>
                </c:pt>
                <c:pt idx="93">
                  <c:v>95.906664120799363</c:v>
                </c:pt>
                <c:pt idx="94">
                  <c:v>96.503218089346944</c:v>
                </c:pt>
                <c:pt idx="95">
                  <c:v>97.095737675994599</c:v>
                </c:pt>
                <c:pt idx="96">
                  <c:v>97.684286662599376</c:v>
                </c:pt>
                <c:pt idx="97">
                  <c:v>98.268927309968049</c:v>
                </c:pt>
                <c:pt idx="98">
                  <c:v>98.849720405662055</c:v>
                </c:pt>
                <c:pt idx="99">
                  <c:v>99.426725309951081</c:v>
                </c:pt>
                <c:pt idx="100">
                  <c:v>100.00000000000004</c:v>
                </c:pt>
              </c:numCache>
            </c:numRef>
          </c:xVal>
          <c:yVal>
            <c:numRef>
              <c:f>Diagram!$N$8:$N$108</c:f>
              <c:numCache>
                <c:formatCode>0.00</c:formatCode>
                <c:ptCount val="101"/>
                <c:pt idx="0">
                  <c:v>100</c:v>
                </c:pt>
                <c:pt idx="1">
                  <c:v>98.269339036546242</c:v>
                </c:pt>
                <c:pt idx="2">
                  <c:v>96.576016058113808</c:v>
                </c:pt>
                <c:pt idx="3">
                  <c:v>94.918134694334725</c:v>
                </c:pt>
                <c:pt idx="4">
                  <c:v>93.293938465425398</c:v>
                </c:pt>
                <c:pt idx="5">
                  <c:v>91.701797488115389</c:v>
                </c:pt>
                <c:pt idx="6">
                  <c:v>90.140196712281764</c:v>
                </c:pt>
                <c:pt idx="7">
                  <c:v>88.607725482728227</c:v>
                </c:pt>
                <c:pt idx="8">
                  <c:v>87.103068251914792</c:v>
                </c:pt>
                <c:pt idx="9">
                  <c:v>85.624996295473252</c:v>
                </c:pt>
                <c:pt idx="10">
                  <c:v>84.172360304035877</c:v>
                </c:pt>
                <c:pt idx="11">
                  <c:v>82.744083743053736</c:v>
                </c:pt>
                <c:pt idx="12">
                  <c:v>81.339156887522932</c:v>
                </c:pt>
                <c:pt idx="13">
                  <c:v>79.956631451383601</c:v>
                </c:pt>
                <c:pt idx="14">
                  <c:v>78.59561574222316</c:v>
                </c:pt>
                <c:pt idx="15">
                  <c:v>77.25527028113649</c:v>
                </c:pt>
                <c:pt idx="16">
                  <c:v>75.934803835447937</c:v>
                </c:pt>
                <c:pt idx="17">
                  <c:v>74.633469818704796</c:v>
                </c:pt>
                <c:pt idx="18">
                  <c:v>73.350563018094491</c:v>
                </c:pt>
                <c:pt idx="19">
                  <c:v>72.085416614373571</c:v>
                </c:pt>
                <c:pt idx="20">
                  <c:v>70.837399463644473</c:v>
                </c:pt>
                <c:pt idx="21">
                  <c:v>69.605913613987894</c:v>
                </c:pt>
                <c:pt idx="22">
                  <c:v>68.390392033137047</c:v>
                </c:pt>
                <c:pt idx="23">
                  <c:v>67.190296526138809</c:v>
                </c:pt>
                <c:pt idx="24">
                  <c:v>66.005115824348081</c:v>
                </c:pt>
                <c:pt idx="25">
                  <c:v>64.834363829195865</c:v>
                </c:pt>
                <c:pt idx="26">
                  <c:v>63.677577996001141</c:v>
                </c:pt>
                <c:pt idx="27">
                  <c:v>62.53431784470115</c:v>
                </c:pt>
                <c:pt idx="28">
                  <c:v>61.404163585782214</c:v>
                </c:pt>
                <c:pt idx="29">
                  <c:v>60.286714850930487</c:v>
                </c:pt>
                <c:pt idx="30">
                  <c:v>59.181589519014956</c:v>
                </c:pt>
                <c:pt idx="31">
                  <c:v>58.088422628977661</c:v>
                </c:pt>
                <c:pt idx="32">
                  <c:v>57.006865372059593</c:v>
                </c:pt>
                <c:pt idx="33">
                  <c:v>55.936584156545692</c:v>
                </c:pt>
                <c:pt idx="34">
                  <c:v>54.877259738884561</c:v>
                </c:pt>
                <c:pt idx="35">
                  <c:v>53.82858641563363</c:v>
                </c:pt>
                <c:pt idx="36">
                  <c:v>52.790271271214451</c:v>
                </c:pt>
                <c:pt idx="37">
                  <c:v>51.762033476934789</c:v>
                </c:pt>
                <c:pt idx="38">
                  <c:v>50.743603637159893</c:v>
                </c:pt>
                <c:pt idx="39">
                  <c:v>49.734723178894093</c:v>
                </c:pt>
                <c:pt idx="40">
                  <c:v>48.735143781374113</c:v>
                </c:pt>
                <c:pt idx="41">
                  <c:v>47.744626842580686</c:v>
                </c:pt>
                <c:pt idx="42">
                  <c:v>46.762942979849761</c:v>
                </c:pt>
                <c:pt idx="43">
                  <c:v>45.789871562011761</c:v>
                </c:pt>
                <c:pt idx="44">
                  <c:v>44.82520027070926</c:v>
                </c:pt>
                <c:pt idx="45">
                  <c:v>43.868724688745885</c:v>
                </c:pt>
                <c:pt idx="46">
                  <c:v>42.920247913499132</c:v>
                </c:pt>
                <c:pt idx="47">
                  <c:v>41.979580193595631</c:v>
                </c:pt>
                <c:pt idx="48">
                  <c:v>41.046538587195357</c:v>
                </c:pt>
                <c:pt idx="49">
                  <c:v>40.120946640366526</c:v>
                </c:pt>
                <c:pt idx="50">
                  <c:v>39.202634084155783</c:v>
                </c:pt>
                <c:pt idx="51">
                  <c:v>38.291436549069282</c:v>
                </c:pt>
                <c:pt idx="52">
                  <c:v>37.387195295782142</c:v>
                </c:pt>
                <c:pt idx="53">
                  <c:v>36.489756960985432</c:v>
                </c:pt>
                <c:pt idx="54">
                  <c:v>35.598973317365449</c:v>
                </c:pt>
                <c:pt idx="55">
                  <c:v>34.714701046784839</c:v>
                </c:pt>
                <c:pt idx="56">
                  <c:v>33.836801525807992</c:v>
                </c:pt>
                <c:pt idx="57">
                  <c:v>32.965140622774889</c:v>
                </c:pt>
                <c:pt idx="58">
                  <c:v>32.099588505688594</c:v>
                </c:pt>
                <c:pt idx="59">
                  <c:v>31.240019460233874</c:v>
                </c:pt>
                <c:pt idx="60">
                  <c:v>30.386311717294944</c:v>
                </c:pt>
                <c:pt idx="61">
                  <c:v>29.538347289385527</c:v>
                </c:pt>
                <c:pt idx="62">
                  <c:v>28.696011815445662</c:v>
                </c:pt>
                <c:pt idx="63">
                  <c:v>27.859194413499036</c:v>
                </c:pt>
                <c:pt idx="64">
                  <c:v>27.027787540698931</c:v>
                </c:pt>
                <c:pt idx="65">
                  <c:v>26.201686860324354</c:v>
                </c:pt>
                <c:pt idx="66">
                  <c:v>25.380791115317194</c:v>
                </c:pt>
                <c:pt idx="67">
                  <c:v>24.565002007979473</c:v>
                </c:pt>
                <c:pt idx="68">
                  <c:v>23.754224085475219</c:v>
                </c:pt>
                <c:pt idx="69">
                  <c:v>22.948364630804754</c:v>
                </c:pt>
                <c:pt idx="70">
                  <c:v>22.147333558941799</c:v>
                </c:pt>
                <c:pt idx="71">
                  <c:v>21.351043317843306</c:v>
                </c:pt>
                <c:pt idx="72">
                  <c:v>20.559408794061092</c:v>
                </c:pt>
                <c:pt idx="73">
                  <c:v>19.772347222701647</c:v>
                </c:pt>
                <c:pt idx="74">
                  <c:v>18.98977810149659</c:v>
                </c:pt>
                <c:pt idx="75">
                  <c:v>18.211623108761177</c:v>
                </c:pt>
                <c:pt idx="76">
                  <c:v>17.437806025032089</c:v>
                </c:pt>
                <c:pt idx="77">
                  <c:v>16.668252658189072</c:v>
                </c:pt>
                <c:pt idx="78">
                  <c:v>15.902890771876244</c:v>
                </c:pt>
                <c:pt idx="79">
                  <c:v>15.141650017050868</c:v>
                </c:pt>
                <c:pt idx="80">
                  <c:v>14.384461866497283</c:v>
                </c:pt>
                <c:pt idx="81">
                  <c:v>13.631259552153542</c:v>
                </c:pt>
                <c:pt idx="82">
                  <c:v>12.88197800510736</c:v>
                </c:pt>
                <c:pt idx="83">
                  <c:v>12.136553798126558</c:v>
                </c:pt>
                <c:pt idx="84">
                  <c:v>11.394925090596514</c:v>
                </c:pt>
                <c:pt idx="85">
                  <c:v>10.65703157574541</c:v>
                </c:pt>
                <c:pt idx="86">
                  <c:v>9.9228144300440491</c:v>
                </c:pt>
                <c:pt idx="87">
                  <c:v>9.1922162646738617</c:v>
                </c:pt>
                <c:pt idx="88">
                  <c:v>8.4651810789627824</c:v>
                </c:pt>
                <c:pt idx="89">
                  <c:v>7.7416542156942416</c:v>
                </c:pt>
                <c:pt idx="90">
                  <c:v>7.021582318199532</c:v>
                </c:pt>
                <c:pt idx="91">
                  <c:v>6.3049132891492015</c:v>
                </c:pt>
                <c:pt idx="92">
                  <c:v>5.5915962509635664</c:v>
                </c:pt>
                <c:pt idx="93">
                  <c:v>4.8815815077663505</c:v>
                </c:pt>
                <c:pt idx="94">
                  <c:v>4.1748205088104964</c:v>
                </c:pt>
                <c:pt idx="95">
                  <c:v>3.4712658133080345</c:v>
                </c:pt>
                <c:pt idx="96">
                  <c:v>2.7708710566001025</c:v>
                </c:pt>
                <c:pt idx="97">
                  <c:v>2.0735909176063507</c:v>
                </c:pt>
                <c:pt idx="98">
                  <c:v>1.3793810874961474</c:v>
                </c:pt>
                <c:pt idx="99">
                  <c:v>0.68819823952727466</c:v>
                </c:pt>
                <c:pt idx="100">
                  <c:v>0</c:v>
                </c:pt>
              </c:numCache>
            </c:numRef>
          </c:yVal>
          <c:smooth val="1"/>
          <c:extLst>
            <c:ext xmlns:c16="http://schemas.microsoft.com/office/drawing/2014/chart" uri="{C3380CC4-5D6E-409C-BE32-E72D297353CC}">
              <c16:uniqueId val="{00000000-A0BB-4740-98E5-DD3F0E9975CF}"/>
            </c:ext>
          </c:extLst>
        </c:ser>
        <c:ser>
          <c:idx val="1"/>
          <c:order val="1"/>
          <c:tx>
            <c:strRef>
              <c:f>Diagram!$P$7</c:f>
              <c:strCache>
                <c:ptCount val="1"/>
                <c:pt idx="0">
                  <c:v>X21</c:v>
                </c:pt>
              </c:strCache>
            </c:strRef>
          </c:tx>
          <c:spPr>
            <a:ln w="25400" cap="rnd">
              <a:solidFill>
                <a:schemeClr val="accent5">
                  <a:lumMod val="75000"/>
                </a:schemeClr>
              </a:solidFill>
              <a:prstDash val="sysDash"/>
              <a:round/>
            </a:ln>
            <a:effectLst/>
          </c:spPr>
          <c:marker>
            <c:symbol val="none"/>
          </c:marker>
          <c:xVal>
            <c:numRef>
              <c:f>Diagram!$O$8:$O$158</c:f>
              <c:numCache>
                <c:formatCode>0.00</c:formatCode>
                <c:ptCount val="151"/>
                <c:pt idx="0">
                  <c:v>0</c:v>
                </c:pt>
                <c:pt idx="1">
                  <c:v>2.0893274366524026</c:v>
                </c:pt>
                <c:pt idx="2">
                  <c:v>4.1186723371160783</c:v>
                </c:pt>
                <c:pt idx="3">
                  <c:v>6.0913983702936552</c:v>
                </c:pt>
                <c:pt idx="4">
                  <c:v>8.0106029614596803</c:v>
                </c:pt>
                <c:pt idx="5">
                  <c:v>9.8791440376124839</c:v>
                </c:pt>
                <c:pt idx="6">
                  <c:v>11.699663549066369</c:v>
                </c:pt>
                <c:pt idx="7">
                  <c:v>13.474608217372909</c:v>
                </c:pt>
                <c:pt idx="8">
                  <c:v>15.206247888627363</c:v>
                </c:pt>
                <c:pt idx="9">
                  <c:v>16.89669181263044</c:v>
                </c:pt>
                <c:pt idx="10">
                  <c:v>18.547903119848378</c:v>
                </c:pt>
                <c:pt idx="11">
                  <c:v>20.161711727752827</c:v>
                </c:pt>
                <c:pt idx="12">
                  <c:v>21.739825874420891</c:v>
                </c:pt>
                <c:pt idx="13">
                  <c:v>23.283842449029368</c:v>
                </c:pt>
                <c:pt idx="14">
                  <c:v>24.795256265117029</c:v>
                </c:pt>
                <c:pt idx="15">
                  <c:v>26.275468402433159</c:v>
                </c:pt>
                <c:pt idx="16">
                  <c:v>27.725793726205847</c:v>
                </c:pt>
                <c:pt idx="17">
                  <c:v>29.147467678231557</c:v>
                </c:pt>
                <c:pt idx="18">
                  <c:v>30.541652421889733</c:v>
                </c:pt>
                <c:pt idx="19">
                  <c:v>31.909442412672824</c:v>
                </c:pt>
                <c:pt idx="20">
                  <c:v>33.251869456810404</c:v>
                </c:pt>
                <c:pt idx="21">
                  <c:v>34.569907312820106</c:v>
                </c:pt>
                <c:pt idx="22">
                  <c:v>35.864475884140703</c:v>
                </c:pt>
                <c:pt idx="23">
                  <c:v>37.136445045234169</c:v>
                </c:pt>
                <c:pt idx="24">
                  <c:v>38.386638138545727</c:v>
                </c:pt>
                <c:pt idx="25">
                  <c:v>39.615835175370925</c:v>
                </c:pt>
                <c:pt idx="26">
                  <c:v>40.824775769902622</c:v>
                </c:pt>
                <c:pt idx="27">
                  <c:v>42.014161832435157</c:v>
                </c:pt>
                <c:pt idx="28">
                  <c:v>43.184660044823666</c:v>
                </c:pt>
                <c:pt idx="29">
                  <c:v>44.336904138772482</c:v>
                </c:pt>
                <c:pt idx="30">
                  <c:v>45.471496995311931</c:v>
                </c:pt>
                <c:pt idx="31">
                  <c:v>46.589012581874876</c:v>
                </c:pt>
                <c:pt idx="32">
                  <c:v>47.689997741665998</c:v>
                </c:pt>
                <c:pt idx="33">
                  <c:v>48.774973848503208</c:v>
                </c:pt>
                <c:pt idx="34">
                  <c:v>49.844438338966597</c:v>
                </c:pt>
                <c:pt idx="35">
                  <c:v>50.898866132505134</c:v>
                </c:pt>
                <c:pt idx="36">
                  <c:v>51.938710949094393</c:v>
                </c:pt>
                <c:pt idx="37">
                  <c:v>52.964406533102462</c:v>
                </c:pt>
                <c:pt idx="38">
                  <c:v>53.976367791184998</c:v>
                </c:pt>
                <c:pt idx="39">
                  <c:v>54.974991851286774</c:v>
                </c:pt>
                <c:pt idx="40">
                  <c:v>55.960659049160661</c:v>
                </c:pt>
                <c:pt idx="41">
                  <c:v>56.933733848220612</c:v>
                </c:pt>
                <c:pt idx="42">
                  <c:v>57.894565698011668</c:v>
                </c:pt>
                <c:pt idx="43">
                  <c:v>58.843489836101405</c:v>
                </c:pt>
                <c:pt idx="44">
                  <c:v>59.780828037767655</c:v>
                </c:pt>
                <c:pt idx="45">
                  <c:v>60.706889317470647</c:v>
                </c:pt>
                <c:pt idx="46">
                  <c:v>61.621970585748869</c:v>
                </c:pt>
                <c:pt idx="47">
                  <c:v>62.526357264864735</c:v>
                </c:pt>
                <c:pt idx="48">
                  <c:v>63.420323866240942</c:v>
                </c:pt>
                <c:pt idx="49">
                  <c:v>64.304134532473384</c:v>
                </c:pt>
                <c:pt idx="50">
                  <c:v>65.178043546472722</c:v>
                </c:pt>
                <c:pt idx="51">
                  <c:v>66.042295810077377</c:v>
                </c:pt>
                <c:pt idx="52">
                  <c:v>66.897127294288836</c:v>
                </c:pt>
                <c:pt idx="53">
                  <c:v>67.742765463107119</c:v>
                </c:pt>
                <c:pt idx="54">
                  <c:v>68.579429672786134</c:v>
                </c:pt>
                <c:pt idx="55">
                  <c:v>69.407331548184999</c:v>
                </c:pt>
                <c:pt idx="56">
                  <c:v>70.226675337761009</c:v>
                </c:pt>
                <c:pt idx="57">
                  <c:v>71.037658248629356</c:v>
                </c:pt>
                <c:pt idx="58">
                  <c:v>71.840470763007389</c:v>
                </c:pt>
                <c:pt idx="59">
                  <c:v>72.635296937259156</c:v>
                </c:pt>
                <c:pt idx="60">
                  <c:v>73.422314684667541</c:v>
                </c:pt>
                <c:pt idx="61">
                  <c:v>74.201696042975158</c:v>
                </c:pt>
                <c:pt idx="62">
                  <c:v>74.973607427660653</c:v>
                </c:pt>
                <c:pt idx="63">
                  <c:v>75.738209871845541</c:v>
                </c:pt>
                <c:pt idx="64">
                  <c:v>76.495659253662964</c:v>
                </c:pt>
                <c:pt idx="65">
                  <c:v>77.246106511860148</c:v>
                </c:pt>
                <c:pt idx="66">
                  <c:v>77.989697850351632</c:v>
                </c:pt>
                <c:pt idx="67">
                  <c:v>78.72657493239106</c:v>
                </c:pt>
                <c:pt idx="68">
                  <c:v>79.456875064981801</c:v>
                </c:pt>
                <c:pt idx="69">
                  <c:v>80.180731374105207</c:v>
                </c:pt>
                <c:pt idx="70">
                  <c:v>80.898272971305516</c:v>
                </c:pt>
                <c:pt idx="71">
                  <c:v>81.609625112133443</c:v>
                </c:pt>
                <c:pt idx="72">
                  <c:v>82.314909346918753</c:v>
                </c:pt>
                <c:pt idx="73">
                  <c:v>83.014243664308381</c:v>
                </c:pt>
                <c:pt idx="74">
                  <c:v>83.70774262798119</c:v>
                </c:pt>
                <c:pt idx="75">
                  <c:v>84.395517506920498</c:v>
                </c:pt>
                <c:pt idx="76">
                  <c:v>85.077676399603661</c:v>
                </c:pt>
                <c:pt idx="77">
                  <c:v>85.754324352443177</c:v>
                </c:pt>
                <c:pt idx="78">
                  <c:v>86.425563472793783</c:v>
                </c:pt>
                <c:pt idx="79">
                  <c:v>87.091493036819699</c:v>
                </c:pt>
                <c:pt idx="80">
                  <c:v>87.75220959249782</c:v>
                </c:pt>
                <c:pt idx="81">
                  <c:v>88.407807058016289</c:v>
                </c:pt>
                <c:pt idx="82">
                  <c:v>89.058376815810817</c:v>
                </c:pt>
                <c:pt idx="83">
                  <c:v>89.704007802467785</c:v>
                </c:pt>
                <c:pt idx="84">
                  <c:v>90.344786594708552</c:v>
                </c:pt>
                <c:pt idx="85">
                  <c:v>90.980797491656674</c:v>
                </c:pt>
                <c:pt idx="86">
                  <c:v>91.612122593577439</c:v>
                </c:pt>
                <c:pt idx="87">
                  <c:v>92.238841877269792</c:v>
                </c:pt>
                <c:pt idx="88">
                  <c:v>92.861033268277254</c:v>
                </c:pt>
                <c:pt idx="89">
                  <c:v>93.478772710077138</c:v>
                </c:pt>
                <c:pt idx="90">
                  <c:v>94.092134230398656</c:v>
                </c:pt>
                <c:pt idx="91">
                  <c:v>94.701190004808254</c:v>
                </c:pt>
                <c:pt idx="92">
                  <c:v>95.306010417697706</c:v>
                </c:pt>
                <c:pt idx="93">
                  <c:v>95.906664120799363</c:v>
                </c:pt>
                <c:pt idx="94">
                  <c:v>96.503218089346944</c:v>
                </c:pt>
                <c:pt idx="95">
                  <c:v>97.095737675994599</c:v>
                </c:pt>
                <c:pt idx="96">
                  <c:v>97.684286662599376</c:v>
                </c:pt>
                <c:pt idx="97">
                  <c:v>98.268927309968049</c:v>
                </c:pt>
                <c:pt idx="98">
                  <c:v>98.849720405662055</c:v>
                </c:pt>
                <c:pt idx="99">
                  <c:v>99.426725309951081</c:v>
                </c:pt>
                <c:pt idx="100">
                  <c:v>100.00000000000004</c:v>
                </c:pt>
                <c:pt idx="101">
                  <c:v>100.39880635869727</c:v>
                </c:pt>
                <c:pt idx="102">
                  <c:v>100.79525054384</c:v>
                </c:pt>
                <c:pt idx="103">
                  <c:v>101.18936950154857</c:v>
                </c:pt>
                <c:pt idx="104">
                  <c:v>101.58119924799415</c:v>
                </c:pt>
                <c:pt idx="105">
                  <c:v>101.9707749014984</c:v>
                </c:pt>
                <c:pt idx="106">
                  <c:v>102.35813071323072</c:v>
                </c:pt>
                <c:pt idx="107">
                  <c:v>102.74330009657686</c:v>
                </c:pt>
                <c:pt idx="108">
                  <c:v>103.12631565524875</c:v>
                </c:pt>
                <c:pt idx="109">
                  <c:v>103.50720921019992</c:v>
                </c:pt>
                <c:pt idx="110">
                  <c:v>103.88601182540849</c:v>
                </c:pt>
                <c:pt idx="111">
                  <c:v>104.26275383258445</c:v>
                </c:pt>
                <c:pt idx="112">
                  <c:v>104.63746485485606</c:v>
                </c:pt>
                <c:pt idx="113">
                  <c:v>105.01017382948585</c:v>
                </c:pt>
                <c:pt idx="114">
                  <c:v>105.38090902966405</c:v>
                </c:pt>
                <c:pt idx="115">
                  <c:v>105.74969808542544</c:v>
                </c:pt>
                <c:pt idx="116">
                  <c:v>106.11656800373106</c:v>
                </c:pt>
                <c:pt idx="117">
                  <c:v>106.4815451877562</c:v>
                </c:pt>
                <c:pt idx="118">
                  <c:v>106.84465545542126</c:v>
                </c:pt>
                <c:pt idx="119">
                  <c:v>107.20592405720284</c:v>
                </c:pt>
                <c:pt idx="120">
                  <c:v>107.56537569325704</c:v>
                </c:pt>
                <c:pt idx="121">
                  <c:v>107.92303452988911</c:v>
                </c:pt>
                <c:pt idx="122">
                  <c:v>108.27892421539747</c:v>
                </c:pt>
                <c:pt idx="123">
                  <c:v>108.63306789532258</c:v>
                </c:pt>
                <c:pt idx="124">
                  <c:v>108.9854882271262</c:v>
                </c:pt>
                <c:pt idx="125">
                  <c:v>109.33620739432783</c:v>
                </c:pt>
                <c:pt idx="126">
                  <c:v>109.68524712012221</c:v>
                </c:pt>
                <c:pt idx="127">
                  <c:v>110.03262868050039</c:v>
                </c:pt>
                <c:pt idx="128">
                  <c:v>110.37837291689719</c:v>
                </c:pt>
                <c:pt idx="129">
                  <c:v>110.72250024838468</c:v>
                </c:pt>
                <c:pt idx="130">
                  <c:v>111.06503068343223</c:v>
                </c:pt>
                <c:pt idx="131">
                  <c:v>111.40598383125115</c:v>
                </c:pt>
                <c:pt idx="132">
                  <c:v>111.74537891274203</c:v>
                </c:pt>
                <c:pt idx="133">
                  <c:v>112.08323477106126</c:v>
                </c:pt>
                <c:pt idx="134">
                  <c:v>112.41956988182308</c:v>
                </c:pt>
                <c:pt idx="135">
                  <c:v>112.75440236295192</c:v>
                </c:pt>
                <c:pt idx="136">
                  <c:v>113.08774998420014</c:v>
                </c:pt>
                <c:pt idx="137">
                  <c:v>113.4196301763442</c:v>
                </c:pt>
                <c:pt idx="138">
                  <c:v>113.75006004007287</c:v>
                </c:pt>
                <c:pt idx="139">
                  <c:v>114.07905635457979</c:v>
                </c:pt>
                <c:pt idx="140">
                  <c:v>114.40663558587231</c:v>
                </c:pt>
                <c:pt idx="141">
                  <c:v>114.73281389480776</c:v>
                </c:pt>
                <c:pt idx="142">
                  <c:v>115.0576071448682</c:v>
                </c:pt>
                <c:pt idx="143">
                  <c:v>115.38103090968394</c:v>
                </c:pt>
                <c:pt idx="144">
                  <c:v>115.70310048031529</c:v>
                </c:pt>
                <c:pt idx="145">
                  <c:v>116.02383087230228</c:v>
                </c:pt>
                <c:pt idx="146">
                  <c:v>116.34323683249143</c:v>
                </c:pt>
                <c:pt idx="147">
                  <c:v>116.66133284564742</c:v>
                </c:pt>
                <c:pt idx="148">
                  <c:v>116.97813314085857</c:v>
                </c:pt>
                <c:pt idx="149">
                  <c:v>117.29365169774368</c:v>
                </c:pt>
                <c:pt idx="150">
                  <c:v>117.60790225246738</c:v>
                </c:pt>
              </c:numCache>
            </c:numRef>
          </c:xVal>
          <c:yVal>
            <c:numRef>
              <c:f>Diagram!$P$8:$P$158</c:f>
              <c:numCache>
                <c:formatCode>0.00</c:formatCode>
                <c:ptCount val="151"/>
                <c:pt idx="0">
                  <c:v>100</c:v>
                </c:pt>
                <c:pt idx="1">
                  <c:v>98.269339036546242</c:v>
                </c:pt>
                <c:pt idx="2">
                  <c:v>96.576016058113808</c:v>
                </c:pt>
                <c:pt idx="3">
                  <c:v>94.918134694334725</c:v>
                </c:pt>
                <c:pt idx="4">
                  <c:v>93.293938465425398</c:v>
                </c:pt>
                <c:pt idx="5">
                  <c:v>91.701797488115389</c:v>
                </c:pt>
                <c:pt idx="6">
                  <c:v>90.140196712281764</c:v>
                </c:pt>
                <c:pt idx="7">
                  <c:v>88.607725482728227</c:v>
                </c:pt>
                <c:pt idx="8">
                  <c:v>87.103068251914792</c:v>
                </c:pt>
                <c:pt idx="9">
                  <c:v>85.624996295473252</c:v>
                </c:pt>
                <c:pt idx="10">
                  <c:v>84.172360304035877</c:v>
                </c:pt>
                <c:pt idx="11">
                  <c:v>82.744083743053736</c:v>
                </c:pt>
                <c:pt idx="12">
                  <c:v>81.339156887522932</c:v>
                </c:pt>
                <c:pt idx="13">
                  <c:v>79.956631451383601</c:v>
                </c:pt>
                <c:pt idx="14">
                  <c:v>78.59561574222316</c:v>
                </c:pt>
                <c:pt idx="15">
                  <c:v>77.25527028113649</c:v>
                </c:pt>
                <c:pt idx="16">
                  <c:v>75.934803835447937</c:v>
                </c:pt>
                <c:pt idx="17">
                  <c:v>74.633469818704796</c:v>
                </c:pt>
                <c:pt idx="18">
                  <c:v>73.350563018094491</c:v>
                </c:pt>
                <c:pt idx="19">
                  <c:v>72.085416614373571</c:v>
                </c:pt>
                <c:pt idx="20">
                  <c:v>70.837399463644473</c:v>
                </c:pt>
                <c:pt idx="21">
                  <c:v>69.605913613987894</c:v>
                </c:pt>
                <c:pt idx="22">
                  <c:v>68.390392033137047</c:v>
                </c:pt>
                <c:pt idx="23">
                  <c:v>67.190296526138809</c:v>
                </c:pt>
                <c:pt idx="24">
                  <c:v>66.005115824348081</c:v>
                </c:pt>
                <c:pt idx="25">
                  <c:v>64.834363829195865</c:v>
                </c:pt>
                <c:pt idx="26">
                  <c:v>63.677577996001141</c:v>
                </c:pt>
                <c:pt idx="27">
                  <c:v>62.53431784470115</c:v>
                </c:pt>
                <c:pt idx="28">
                  <c:v>61.404163585782214</c:v>
                </c:pt>
                <c:pt idx="29">
                  <c:v>60.286714850930487</c:v>
                </c:pt>
                <c:pt idx="30">
                  <c:v>59.181589519014956</c:v>
                </c:pt>
                <c:pt idx="31">
                  <c:v>58.088422628977661</c:v>
                </c:pt>
                <c:pt idx="32">
                  <c:v>57.006865372059593</c:v>
                </c:pt>
                <c:pt idx="33">
                  <c:v>55.936584156545692</c:v>
                </c:pt>
                <c:pt idx="34">
                  <c:v>54.877259738884561</c:v>
                </c:pt>
                <c:pt idx="35">
                  <c:v>53.82858641563363</c:v>
                </c:pt>
                <c:pt idx="36">
                  <c:v>52.790271271214451</c:v>
                </c:pt>
                <c:pt idx="37">
                  <c:v>51.762033476934789</c:v>
                </c:pt>
                <c:pt idx="38">
                  <c:v>50.743603637159893</c:v>
                </c:pt>
                <c:pt idx="39">
                  <c:v>49.734723178894093</c:v>
                </c:pt>
                <c:pt idx="40">
                  <c:v>48.735143781374113</c:v>
                </c:pt>
                <c:pt idx="41">
                  <c:v>47.744626842580686</c:v>
                </c:pt>
                <c:pt idx="42">
                  <c:v>46.762942979849761</c:v>
                </c:pt>
                <c:pt idx="43">
                  <c:v>45.789871562011761</c:v>
                </c:pt>
                <c:pt idx="44">
                  <c:v>44.82520027070926</c:v>
                </c:pt>
                <c:pt idx="45">
                  <c:v>43.868724688745885</c:v>
                </c:pt>
                <c:pt idx="46">
                  <c:v>42.920247913499132</c:v>
                </c:pt>
                <c:pt idx="47">
                  <c:v>41.979580193595631</c:v>
                </c:pt>
                <c:pt idx="48">
                  <c:v>41.046538587195357</c:v>
                </c:pt>
                <c:pt idx="49">
                  <c:v>40.120946640366526</c:v>
                </c:pt>
                <c:pt idx="50">
                  <c:v>39.202634084155783</c:v>
                </c:pt>
                <c:pt idx="51">
                  <c:v>38.291436549069282</c:v>
                </c:pt>
                <c:pt idx="52">
                  <c:v>37.387195295782142</c:v>
                </c:pt>
                <c:pt idx="53">
                  <c:v>36.489756960985432</c:v>
                </c:pt>
                <c:pt idx="54">
                  <c:v>35.598973317365449</c:v>
                </c:pt>
                <c:pt idx="55">
                  <c:v>34.714701046784839</c:v>
                </c:pt>
                <c:pt idx="56">
                  <c:v>33.836801525807992</c:v>
                </c:pt>
                <c:pt idx="57">
                  <c:v>32.965140622774889</c:v>
                </c:pt>
                <c:pt idx="58">
                  <c:v>32.099588505688594</c:v>
                </c:pt>
                <c:pt idx="59">
                  <c:v>31.240019460233874</c:v>
                </c:pt>
                <c:pt idx="60">
                  <c:v>30.386311717294944</c:v>
                </c:pt>
                <c:pt idx="61">
                  <c:v>29.538347289385527</c:v>
                </c:pt>
                <c:pt idx="62">
                  <c:v>28.696011815445662</c:v>
                </c:pt>
                <c:pt idx="63">
                  <c:v>27.859194413499036</c:v>
                </c:pt>
                <c:pt idx="64">
                  <c:v>27.027787540698931</c:v>
                </c:pt>
                <c:pt idx="65">
                  <c:v>26.201686860324354</c:v>
                </c:pt>
                <c:pt idx="66">
                  <c:v>25.380791115317194</c:v>
                </c:pt>
                <c:pt idx="67">
                  <c:v>24.565002007979473</c:v>
                </c:pt>
                <c:pt idx="68">
                  <c:v>23.754224085475219</c:v>
                </c:pt>
                <c:pt idx="69">
                  <c:v>22.948364630804754</c:v>
                </c:pt>
                <c:pt idx="70">
                  <c:v>22.147333558941799</c:v>
                </c:pt>
                <c:pt idx="71">
                  <c:v>21.351043317843306</c:v>
                </c:pt>
                <c:pt idx="72">
                  <c:v>20.559408794061092</c:v>
                </c:pt>
                <c:pt idx="73">
                  <c:v>19.772347222701647</c:v>
                </c:pt>
                <c:pt idx="74">
                  <c:v>18.98977810149659</c:v>
                </c:pt>
                <c:pt idx="75">
                  <c:v>18.211623108761177</c:v>
                </c:pt>
                <c:pt idx="76">
                  <c:v>17.437806025032089</c:v>
                </c:pt>
                <c:pt idx="77">
                  <c:v>16.668252658189072</c:v>
                </c:pt>
                <c:pt idx="78">
                  <c:v>15.902890771876244</c:v>
                </c:pt>
                <c:pt idx="79">
                  <c:v>15.141650017050868</c:v>
                </c:pt>
                <c:pt idx="80">
                  <c:v>14.384461866497283</c:v>
                </c:pt>
                <c:pt idx="81">
                  <c:v>13.631259552153542</c:v>
                </c:pt>
                <c:pt idx="82">
                  <c:v>12.88197800510736</c:v>
                </c:pt>
                <c:pt idx="83">
                  <c:v>12.136553798126558</c:v>
                </c:pt>
                <c:pt idx="84">
                  <c:v>11.394925090596514</c:v>
                </c:pt>
                <c:pt idx="85">
                  <c:v>10.65703157574541</c:v>
                </c:pt>
                <c:pt idx="86">
                  <c:v>9.9228144300440491</c:v>
                </c:pt>
                <c:pt idx="87">
                  <c:v>9.1922162646738617</c:v>
                </c:pt>
                <c:pt idx="88">
                  <c:v>8.4651810789627824</c:v>
                </c:pt>
                <c:pt idx="89">
                  <c:v>7.7416542156942416</c:v>
                </c:pt>
                <c:pt idx="90">
                  <c:v>7.021582318199532</c:v>
                </c:pt>
                <c:pt idx="91">
                  <c:v>6.3049132891492015</c:v>
                </c:pt>
                <c:pt idx="92">
                  <c:v>5.5915962509635664</c:v>
                </c:pt>
                <c:pt idx="93">
                  <c:v>4.8815815077663505</c:v>
                </c:pt>
                <c:pt idx="94">
                  <c:v>4.1748205088104964</c:v>
                </c:pt>
                <c:pt idx="95">
                  <c:v>3.4712658133080345</c:v>
                </c:pt>
                <c:pt idx="96">
                  <c:v>2.7708710566001025</c:v>
                </c:pt>
                <c:pt idx="97">
                  <c:v>2.0735909176063507</c:v>
                </c:pt>
                <c:pt idx="98">
                  <c:v>1.3793810874961474</c:v>
                </c:pt>
                <c:pt idx="99">
                  <c:v>0.68819823952727466</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numCache>
            </c:numRef>
          </c:yVal>
          <c:smooth val="1"/>
          <c:extLst>
            <c:ext xmlns:c16="http://schemas.microsoft.com/office/drawing/2014/chart" uri="{C3380CC4-5D6E-409C-BE32-E72D297353CC}">
              <c16:uniqueId val="{00000001-A0BB-4740-98E5-DD3F0E9975CF}"/>
            </c:ext>
          </c:extLst>
        </c:ser>
        <c:ser>
          <c:idx val="2"/>
          <c:order val="2"/>
          <c:tx>
            <c:strRef>
              <c:f>Diagram!$Q$7</c:f>
              <c:strCache>
                <c:ptCount val="1"/>
                <c:pt idx="0">
                  <c:v>X2U0</c:v>
                </c:pt>
              </c:strCache>
            </c:strRef>
          </c:tx>
          <c:spPr>
            <a:ln w="25400" cap="rnd">
              <a:solidFill>
                <a:schemeClr val="accent2">
                  <a:lumMod val="75000"/>
                </a:schemeClr>
              </a:solidFill>
              <a:round/>
            </a:ln>
            <a:effectLst/>
          </c:spPr>
          <c:marker>
            <c:symbol val="none"/>
          </c:marker>
          <c:xVal>
            <c:numRef>
              <c:f>Diagram!$M$8:$M$158</c:f>
              <c:numCache>
                <c:formatCode>0.00</c:formatCode>
                <c:ptCount val="151"/>
                <c:pt idx="0">
                  <c:v>0</c:v>
                </c:pt>
                <c:pt idx="1">
                  <c:v>2.0893274366524026</c:v>
                </c:pt>
                <c:pt idx="2">
                  <c:v>4.1186723371160783</c:v>
                </c:pt>
                <c:pt idx="3">
                  <c:v>6.0913983702936552</c:v>
                </c:pt>
                <c:pt idx="4">
                  <c:v>8.0106029614596803</c:v>
                </c:pt>
                <c:pt idx="5">
                  <c:v>9.8791440376124839</c:v>
                </c:pt>
                <c:pt idx="6">
                  <c:v>11.699663549066369</c:v>
                </c:pt>
                <c:pt idx="7">
                  <c:v>13.474608217372909</c:v>
                </c:pt>
                <c:pt idx="8">
                  <c:v>15.206247888627363</c:v>
                </c:pt>
                <c:pt idx="9">
                  <c:v>16.89669181263044</c:v>
                </c:pt>
                <c:pt idx="10">
                  <c:v>18.547903119848378</c:v>
                </c:pt>
                <c:pt idx="11">
                  <c:v>20.161711727752827</c:v>
                </c:pt>
                <c:pt idx="12">
                  <c:v>21.739825874420891</c:v>
                </c:pt>
                <c:pt idx="13">
                  <c:v>23.283842449029368</c:v>
                </c:pt>
                <c:pt idx="14">
                  <c:v>24.795256265117029</c:v>
                </c:pt>
                <c:pt idx="15">
                  <c:v>26.275468402433159</c:v>
                </c:pt>
                <c:pt idx="16">
                  <c:v>27.725793726205847</c:v>
                </c:pt>
                <c:pt idx="17">
                  <c:v>29.147467678231557</c:v>
                </c:pt>
                <c:pt idx="18">
                  <c:v>30.541652421889733</c:v>
                </c:pt>
                <c:pt idx="19">
                  <c:v>31.909442412672824</c:v>
                </c:pt>
                <c:pt idx="20">
                  <c:v>33.251869456810404</c:v>
                </c:pt>
                <c:pt idx="21">
                  <c:v>34.569907312820106</c:v>
                </c:pt>
                <c:pt idx="22">
                  <c:v>35.864475884140703</c:v>
                </c:pt>
                <c:pt idx="23">
                  <c:v>37.136445045234169</c:v>
                </c:pt>
                <c:pt idx="24">
                  <c:v>38.386638138545727</c:v>
                </c:pt>
                <c:pt idx="25">
                  <c:v>39.615835175370925</c:v>
                </c:pt>
                <c:pt idx="26">
                  <c:v>40.824775769902622</c:v>
                </c:pt>
                <c:pt idx="27">
                  <c:v>42.014161832435157</c:v>
                </c:pt>
                <c:pt idx="28">
                  <c:v>43.184660044823666</c:v>
                </c:pt>
                <c:pt idx="29">
                  <c:v>44.336904138772482</c:v>
                </c:pt>
                <c:pt idx="30">
                  <c:v>45.471496995311931</c:v>
                </c:pt>
                <c:pt idx="31">
                  <c:v>46.589012581874876</c:v>
                </c:pt>
                <c:pt idx="32">
                  <c:v>47.689997741665998</c:v>
                </c:pt>
                <c:pt idx="33">
                  <c:v>48.774973848503208</c:v>
                </c:pt>
                <c:pt idx="34">
                  <c:v>49.844438338966597</c:v>
                </c:pt>
                <c:pt idx="35">
                  <c:v>50.898866132505134</c:v>
                </c:pt>
                <c:pt idx="36">
                  <c:v>51.938710949094393</c:v>
                </c:pt>
                <c:pt idx="37">
                  <c:v>52.964406533102462</c:v>
                </c:pt>
                <c:pt idx="38">
                  <c:v>53.976367791184998</c:v>
                </c:pt>
                <c:pt idx="39">
                  <c:v>54.974991851286774</c:v>
                </c:pt>
                <c:pt idx="40">
                  <c:v>55.960659049160661</c:v>
                </c:pt>
                <c:pt idx="41">
                  <c:v>56.933733848220612</c:v>
                </c:pt>
                <c:pt idx="42">
                  <c:v>57.894565698011668</c:v>
                </c:pt>
                <c:pt idx="43">
                  <c:v>58.843489836101405</c:v>
                </c:pt>
                <c:pt idx="44">
                  <c:v>59.780828037767655</c:v>
                </c:pt>
                <c:pt idx="45">
                  <c:v>60.706889317470647</c:v>
                </c:pt>
                <c:pt idx="46">
                  <c:v>61.621970585748869</c:v>
                </c:pt>
                <c:pt idx="47">
                  <c:v>62.526357264864735</c:v>
                </c:pt>
                <c:pt idx="48">
                  <c:v>63.420323866240942</c:v>
                </c:pt>
                <c:pt idx="49">
                  <c:v>64.304134532473384</c:v>
                </c:pt>
                <c:pt idx="50">
                  <c:v>65.178043546472722</c:v>
                </c:pt>
                <c:pt idx="51">
                  <c:v>66.042295810077377</c:v>
                </c:pt>
                <c:pt idx="52">
                  <c:v>66.897127294288836</c:v>
                </c:pt>
                <c:pt idx="53">
                  <c:v>67.742765463107119</c:v>
                </c:pt>
                <c:pt idx="54">
                  <c:v>68.579429672786134</c:v>
                </c:pt>
                <c:pt idx="55">
                  <c:v>69.407331548184999</c:v>
                </c:pt>
                <c:pt idx="56">
                  <c:v>70.226675337761009</c:v>
                </c:pt>
                <c:pt idx="57">
                  <c:v>71.037658248629356</c:v>
                </c:pt>
                <c:pt idx="58">
                  <c:v>71.840470763007389</c:v>
                </c:pt>
                <c:pt idx="59">
                  <c:v>72.635296937259156</c:v>
                </c:pt>
                <c:pt idx="60">
                  <c:v>73.422314684667541</c:v>
                </c:pt>
                <c:pt idx="61">
                  <c:v>74.201696042975158</c:v>
                </c:pt>
                <c:pt idx="62">
                  <c:v>74.973607427660653</c:v>
                </c:pt>
                <c:pt idx="63">
                  <c:v>75.738209871845541</c:v>
                </c:pt>
                <c:pt idx="64">
                  <c:v>76.495659253662964</c:v>
                </c:pt>
                <c:pt idx="65">
                  <c:v>77.246106511860148</c:v>
                </c:pt>
                <c:pt idx="66">
                  <c:v>77.989697850351632</c:v>
                </c:pt>
                <c:pt idx="67">
                  <c:v>78.72657493239106</c:v>
                </c:pt>
                <c:pt idx="68">
                  <c:v>79.456875064981801</c:v>
                </c:pt>
                <c:pt idx="69">
                  <c:v>80.180731374105207</c:v>
                </c:pt>
                <c:pt idx="70">
                  <c:v>80.898272971305516</c:v>
                </c:pt>
                <c:pt idx="71">
                  <c:v>81.609625112133443</c:v>
                </c:pt>
                <c:pt idx="72">
                  <c:v>82.314909346918753</c:v>
                </c:pt>
                <c:pt idx="73">
                  <c:v>83.014243664308381</c:v>
                </c:pt>
                <c:pt idx="74">
                  <c:v>83.70774262798119</c:v>
                </c:pt>
                <c:pt idx="75">
                  <c:v>84.395517506920498</c:v>
                </c:pt>
                <c:pt idx="76">
                  <c:v>85.077676399603661</c:v>
                </c:pt>
                <c:pt idx="77">
                  <c:v>85.754324352443177</c:v>
                </c:pt>
                <c:pt idx="78">
                  <c:v>86.425563472793783</c:v>
                </c:pt>
                <c:pt idx="79">
                  <c:v>87.091493036819699</c:v>
                </c:pt>
                <c:pt idx="80">
                  <c:v>87.75220959249782</c:v>
                </c:pt>
                <c:pt idx="81">
                  <c:v>88.407807058016289</c:v>
                </c:pt>
                <c:pt idx="82">
                  <c:v>89.058376815810817</c:v>
                </c:pt>
                <c:pt idx="83">
                  <c:v>89.704007802467785</c:v>
                </c:pt>
                <c:pt idx="84">
                  <c:v>90.344786594708552</c:v>
                </c:pt>
                <c:pt idx="85">
                  <c:v>90.980797491656674</c:v>
                </c:pt>
                <c:pt idx="86">
                  <c:v>91.612122593577439</c:v>
                </c:pt>
                <c:pt idx="87">
                  <c:v>92.238841877269792</c:v>
                </c:pt>
                <c:pt idx="88">
                  <c:v>92.861033268277254</c:v>
                </c:pt>
                <c:pt idx="89">
                  <c:v>93.478772710077138</c:v>
                </c:pt>
                <c:pt idx="90">
                  <c:v>94.092134230398656</c:v>
                </c:pt>
                <c:pt idx="91">
                  <c:v>94.701190004808254</c:v>
                </c:pt>
                <c:pt idx="92">
                  <c:v>95.306010417697706</c:v>
                </c:pt>
                <c:pt idx="93">
                  <c:v>95.906664120799363</c:v>
                </c:pt>
                <c:pt idx="94">
                  <c:v>96.503218089346944</c:v>
                </c:pt>
                <c:pt idx="95">
                  <c:v>97.095737675994599</c:v>
                </c:pt>
                <c:pt idx="96">
                  <c:v>97.684286662599376</c:v>
                </c:pt>
                <c:pt idx="97">
                  <c:v>98.268927309968049</c:v>
                </c:pt>
                <c:pt idx="98">
                  <c:v>98.849720405662055</c:v>
                </c:pt>
                <c:pt idx="99">
                  <c:v>99.426725309951081</c:v>
                </c:pt>
                <c:pt idx="100">
                  <c:v>100.00000000000004</c:v>
                </c:pt>
                <c:pt idx="101">
                  <c:v>100.39880635869727</c:v>
                </c:pt>
                <c:pt idx="102">
                  <c:v>100.79525054384</c:v>
                </c:pt>
                <c:pt idx="103">
                  <c:v>101.18936950154857</c:v>
                </c:pt>
                <c:pt idx="104">
                  <c:v>101.58119924799415</c:v>
                </c:pt>
                <c:pt idx="105">
                  <c:v>101.9707749014984</c:v>
                </c:pt>
                <c:pt idx="106">
                  <c:v>102.35813071323072</c:v>
                </c:pt>
                <c:pt idx="107">
                  <c:v>102.74330009657686</c:v>
                </c:pt>
                <c:pt idx="108">
                  <c:v>103.12631565524875</c:v>
                </c:pt>
                <c:pt idx="109">
                  <c:v>103.50720921019992</c:v>
                </c:pt>
                <c:pt idx="110">
                  <c:v>103.88601182540849</c:v>
                </c:pt>
                <c:pt idx="111">
                  <c:v>104.26275383258445</c:v>
                </c:pt>
                <c:pt idx="112">
                  <c:v>104.63746485485606</c:v>
                </c:pt>
                <c:pt idx="113">
                  <c:v>105.01017382948585</c:v>
                </c:pt>
                <c:pt idx="114">
                  <c:v>105.38090902966405</c:v>
                </c:pt>
                <c:pt idx="115">
                  <c:v>105.74969808542544</c:v>
                </c:pt>
                <c:pt idx="116">
                  <c:v>106.11656800373106</c:v>
                </c:pt>
                <c:pt idx="117">
                  <c:v>106.4815451877562</c:v>
                </c:pt>
                <c:pt idx="118">
                  <c:v>106.84465545542126</c:v>
                </c:pt>
                <c:pt idx="119">
                  <c:v>107.20592405720284</c:v>
                </c:pt>
                <c:pt idx="120">
                  <c:v>107.56537569325704</c:v>
                </c:pt>
                <c:pt idx="121">
                  <c:v>107.92303452988911</c:v>
                </c:pt>
                <c:pt idx="122">
                  <c:v>108.27892421539747</c:v>
                </c:pt>
                <c:pt idx="123">
                  <c:v>108.63306789532258</c:v>
                </c:pt>
                <c:pt idx="124">
                  <c:v>108.9854882271262</c:v>
                </c:pt>
                <c:pt idx="125">
                  <c:v>109.33620739432783</c:v>
                </c:pt>
                <c:pt idx="126">
                  <c:v>109.68524712012221</c:v>
                </c:pt>
                <c:pt idx="127">
                  <c:v>110.03262868050039</c:v>
                </c:pt>
                <c:pt idx="128">
                  <c:v>110.37837291689719</c:v>
                </c:pt>
                <c:pt idx="129">
                  <c:v>110.72250024838468</c:v>
                </c:pt>
                <c:pt idx="130">
                  <c:v>111.06503068343223</c:v>
                </c:pt>
                <c:pt idx="131">
                  <c:v>111.40598383125115</c:v>
                </c:pt>
                <c:pt idx="132">
                  <c:v>111.74537891274203</c:v>
                </c:pt>
                <c:pt idx="133">
                  <c:v>112.08323477106126</c:v>
                </c:pt>
                <c:pt idx="134">
                  <c:v>112.41956988182308</c:v>
                </c:pt>
                <c:pt idx="135">
                  <c:v>112.75440236295192</c:v>
                </c:pt>
                <c:pt idx="136">
                  <c:v>113.08774998420014</c:v>
                </c:pt>
                <c:pt idx="137">
                  <c:v>113.4196301763442</c:v>
                </c:pt>
                <c:pt idx="138">
                  <c:v>113.75006004007287</c:v>
                </c:pt>
                <c:pt idx="139">
                  <c:v>114.07905635457979</c:v>
                </c:pt>
                <c:pt idx="140">
                  <c:v>114.40663558587231</c:v>
                </c:pt>
                <c:pt idx="141">
                  <c:v>114.73281389480776</c:v>
                </c:pt>
                <c:pt idx="142">
                  <c:v>115.0576071448682</c:v>
                </c:pt>
                <c:pt idx="143">
                  <c:v>115.38103090968394</c:v>
                </c:pt>
                <c:pt idx="144">
                  <c:v>115.70310048031529</c:v>
                </c:pt>
                <c:pt idx="145">
                  <c:v>116.02383087230228</c:v>
                </c:pt>
                <c:pt idx="146">
                  <c:v>116.34323683249143</c:v>
                </c:pt>
                <c:pt idx="147">
                  <c:v>116.66133284564742</c:v>
                </c:pt>
                <c:pt idx="148">
                  <c:v>116.97813314085857</c:v>
                </c:pt>
                <c:pt idx="149">
                  <c:v>117.29365169774368</c:v>
                </c:pt>
                <c:pt idx="150">
                  <c:v>117.60790225246738</c:v>
                </c:pt>
              </c:numCache>
            </c:numRef>
          </c:xVal>
          <c:yVal>
            <c:numRef>
              <c:f>Diagram!$Q$8:$Q$158</c:f>
              <c:numCache>
                <c:formatCode>General</c:formatCode>
                <c:ptCount val="151"/>
                <c:pt idx="1">
                  <c:v>231.92598227183612</c:v>
                </c:pt>
                <c:pt idx="2">
                  <c:v>173.39144298422326</c:v>
                </c:pt>
                <c:pt idx="3">
                  <c:v>146.61815958321435</c:v>
                </c:pt>
                <c:pt idx="4">
                  <c:v>130.37969537604889</c:v>
                </c:pt>
                <c:pt idx="5">
                  <c:v>119.1754421126487</c:v>
                </c:pt>
                <c:pt idx="6">
                  <c:v>110.84253822981601</c:v>
                </c:pt>
                <c:pt idx="7">
                  <c:v>104.33180045763626</c:v>
                </c:pt>
                <c:pt idx="8">
                  <c:v>99.063613438115837</c:v>
                </c:pt>
                <c:pt idx="9">
                  <c:v>94.687866122181163</c:v>
                </c:pt>
                <c:pt idx="10">
                  <c:v>90.978784093396541</c:v>
                </c:pt>
                <c:pt idx="11">
                  <c:v>87.783295102708649</c:v>
                </c:pt>
                <c:pt idx="12">
                  <c:v>84.993421016517814</c:v>
                </c:pt>
                <c:pt idx="13">
                  <c:v>82.530501766456752</c:v>
                </c:pt>
                <c:pt idx="14">
                  <c:v>80.335686135490363</c:v>
                </c:pt>
                <c:pt idx="15">
                  <c:v>78.363942842132147</c:v>
                </c:pt>
                <c:pt idx="16">
                  <c:v>76.580147536995099</c:v>
                </c:pt>
                <c:pt idx="17">
                  <c:v>74.956445011676166</c:v>
                </c:pt>
                <c:pt idx="18">
                  <c:v>73.47042255459003</c:v>
                </c:pt>
                <c:pt idx="19">
                  <c:v>72.103815048260117</c:v>
                </c:pt>
                <c:pt idx="20">
                  <c:v>70.841567936039681</c:v>
                </c:pt>
                <c:pt idx="21">
                  <c:v>69.671146685958618</c:v>
                </c:pt>
                <c:pt idx="22">
                  <c:v>68.582019568717442</c:v>
                </c:pt>
                <c:pt idx="23">
                  <c:v>67.565264556374331</c:v>
                </c:pt>
                <c:pt idx="24">
                  <c:v>66.613266594236649</c:v>
                </c:pt>
                <c:pt idx="25">
                  <c:v>65.719481666201233</c:v>
                </c:pt>
                <c:pt idx="26">
                  <c:v>64.878250902101612</c:v>
                </c:pt>
                <c:pt idx="27">
                  <c:v>64.084652645222945</c:v>
                </c:pt>
                <c:pt idx="28">
                  <c:v>63.334383644725584</c:v>
                </c:pt>
                <c:pt idx="29">
                  <c:v>62.623662829366822</c:v>
                </c:pt>
                <c:pt idx="30">
                  <c:v>61.949152759164527</c:v>
                </c:pt>
                <c:pt idx="31">
                  <c:v>61.307895040825358</c:v>
                </c:pt>
                <c:pt idx="32">
                  <c:v>60.697256865206725</c:v>
                </c:pt>
                <c:pt idx="33">
                  <c:v>60.114886472250006</c:v>
                </c:pt>
                <c:pt idx="34">
                  <c:v>59.558675833828786</c:v>
                </c:pt>
                <c:pt idx="35">
                  <c:v>59.026729211925854</c:v>
                </c:pt>
                <c:pt idx="36">
                  <c:v>58.51733652971042</c:v>
                </c:pt>
                <c:pt idx="37">
                  <c:v>58.028950708768804</c:v>
                </c:pt>
                <c:pt idx="38">
                  <c:v>57.560168293098748</c:v>
                </c:pt>
                <c:pt idx="39">
                  <c:v>57.109712811302813</c:v>
                </c:pt>
                <c:pt idx="40">
                  <c:v>56.676420431403102</c:v>
                </c:pt>
                <c:pt idx="41">
                  <c:v>56.259227544305574</c:v>
                </c:pt>
                <c:pt idx="42">
                  <c:v>55.857159977012515</c:v>
                </c:pt>
                <c:pt idx="43">
                  <c:v>55.469323588874467</c:v>
                </c:pt>
                <c:pt idx="44">
                  <c:v>55.094896046272019</c:v>
                </c:pt>
                <c:pt idx="45">
                  <c:v>54.733119605255325</c:v>
                </c:pt>
                <c:pt idx="46">
                  <c:v>54.383294759495662</c:v>
                </c:pt>
                <c:pt idx="47">
                  <c:v>54.044774633686231</c:v>
                </c:pt>
                <c:pt idx="48">
                  <c:v>53.716960021282937</c:v>
                </c:pt>
                <c:pt idx="49">
                  <c:v>53.399294980964051</c:v>
                </c:pt>
                <c:pt idx="50">
                  <c:v>53.091262919048248</c:v>
                </c:pt>
                <c:pt idx="51">
                  <c:v>52.792383095820369</c:v>
                </c:pt>
                <c:pt idx="52">
                  <c:v>52.502207502675716</c:v>
                </c:pt>
                <c:pt idx="53">
                  <c:v>52.220318064513457</c:v>
                </c:pt>
                <c:pt idx="54">
                  <c:v>51.946324128149058</c:v>
                </c:pt>
                <c:pt idx="55">
                  <c:v>51.67986020286871</c:v>
                </c:pt>
                <c:pt idx="56">
                  <c:v>51.420583923794489</c:v>
                </c:pt>
                <c:pt idx="57">
                  <c:v>51.168174212592355</c:v>
                </c:pt>
                <c:pt idx="58">
                  <c:v>50.922329613352431</c:v>
                </c:pt>
                <c:pt idx="59">
                  <c:v>50.682766784294934</c:v>
                </c:pt>
                <c:pt idx="60">
                  <c:v>50.449219128375731</c:v>
                </c:pt>
                <c:pt idx="61">
                  <c:v>50.221435547950499</c:v>
                </c:pt>
                <c:pt idx="62">
                  <c:v>49.999179310454579</c:v>
                </c:pt>
                <c:pt idx="63">
                  <c:v>49.782227013610623</c:v>
                </c:pt>
                <c:pt idx="64">
                  <c:v>49.570367640025658</c:v>
                </c:pt>
                <c:pt idx="65">
                  <c:v>49.363401692209926</c:v>
                </c:pt>
                <c:pt idx="66">
                  <c:v>49.161140400072135</c:v>
                </c:pt>
                <c:pt idx="67">
                  <c:v>48.963404993835475</c:v>
                </c:pt>
                <c:pt idx="68">
                  <c:v>48.770026036100298</c:v>
                </c:pt>
                <c:pt idx="69">
                  <c:v>48.580842807460719</c:v>
                </c:pt>
                <c:pt idx="70">
                  <c:v>48.395702740685266</c:v>
                </c:pt>
                <c:pt idx="71">
                  <c:v>48.214460898997778</c:v>
                </c:pt>
                <c:pt idx="72">
                  <c:v>48.036979494462095</c:v>
                </c:pt>
                <c:pt idx="73">
                  <c:v>47.86312744288616</c:v>
                </c:pt>
                <c:pt idx="74">
                  <c:v>47.692779952023038</c:v>
                </c:pt>
                <c:pt idx="75">
                  <c:v>47.525818140172802</c:v>
                </c:pt>
                <c:pt idx="76">
                  <c:v>47.362128682572859</c:v>
                </c:pt>
                <c:pt idx="77">
                  <c:v>47.201603483220573</c:v>
                </c:pt>
                <c:pt idx="78">
                  <c:v>47.044139369999954</c:v>
                </c:pt>
                <c:pt idx="79">
                  <c:v>46.889637811185871</c:v>
                </c:pt>
                <c:pt idx="80">
                  <c:v>46.738004651579885</c:v>
                </c:pt>
                <c:pt idx="81">
                  <c:v>46.589149866696118</c:v>
                </c:pt>
                <c:pt idx="82">
                  <c:v>46.442987333558101</c:v>
                </c:pt>
                <c:pt idx="83">
                  <c:v>46.299434616799743</c:v>
                </c:pt>
                <c:pt idx="84">
                  <c:v>46.158412768880012</c:v>
                </c:pt>
                <c:pt idx="85">
                  <c:v>46.01984614332649</c:v>
                </c:pt>
                <c:pt idx="86">
                  <c:v>45.883662220017612</c:v>
                </c:pt>
                <c:pt idx="87">
                  <c:v>45.749791441599356</c:v>
                </c:pt>
                <c:pt idx="88">
                  <c:v>45.618167060209238</c:v>
                </c:pt>
                <c:pt idx="89">
                  <c:v>45.488724993751383</c:v>
                </c:pt>
                <c:pt idx="90">
                  <c:v>45.361403691027355</c:v>
                </c:pt>
                <c:pt idx="91">
                  <c:v>45.236144005088391</c:v>
                </c:pt>
                <c:pt idx="92">
                  <c:v>45.112889074223247</c:v>
                </c:pt>
                <c:pt idx="93">
                  <c:v>44.991584210045524</c:v>
                </c:pt>
                <c:pt idx="94">
                  <c:v>44.872176792186437</c:v>
                </c:pt>
                <c:pt idx="95">
                  <c:v>44.754616169138266</c:v>
                </c:pt>
                <c:pt idx="96">
                  <c:v>44.638853564829205</c:v>
                </c:pt>
                <c:pt idx="97">
                  <c:v>44.524841990543642</c:v>
                </c:pt>
                <c:pt idx="98">
                  <c:v>44.412536161830339</c:v>
                </c:pt>
                <c:pt idx="99">
                  <c:v>44.301892420069443</c:v>
                </c:pt>
                <c:pt idx="100">
                  <c:v>44.192868658393323</c:v>
                </c:pt>
                <c:pt idx="101">
                  <c:v>44.117550000932312</c:v>
                </c:pt>
                <c:pt idx="102">
                  <c:v>44.043099888003432</c:v>
                </c:pt>
                <c:pt idx="103">
                  <c:v>43.969499934765324</c:v>
                </c:pt>
                <c:pt idx="104">
                  <c:v>43.896732319270903</c:v>
                </c:pt>
                <c:pt idx="105">
                  <c:v>43.824779760015346</c:v>
                </c:pt>
                <c:pt idx="106">
                  <c:v>43.753625494583979</c:v>
                </c:pt>
                <c:pt idx="107">
                  <c:v>43.683253259335928</c:v>
                </c:pt>
                <c:pt idx="108">
                  <c:v>43.613647270064561</c:v>
                </c:pt>
                <c:pt idx="109">
                  <c:v>43.544792203579057</c:v>
                </c:pt>
                <c:pt idx="110">
                  <c:v>43.476673180155053</c:v>
                </c:pt>
                <c:pt idx="111">
                  <c:v>43.409275746806046</c:v>
                </c:pt>
                <c:pt idx="112">
                  <c:v>43.342585861330043</c:v>
                </c:pt>
                <c:pt idx="113">
                  <c:v>43.276589877089208</c:v>
                </c:pt>
                <c:pt idx="114">
                  <c:v>43.211274528482328</c:v>
                </c:pt>
                <c:pt idx="115">
                  <c:v>43.146626917072979</c:v>
                </c:pt>
                <c:pt idx="116">
                  <c:v>43.082634498338415</c:v>
                </c:pt>
                <c:pt idx="117">
                  <c:v>43.019285069006251</c:v>
                </c:pt>
                <c:pt idx="118">
                  <c:v>42.956566754947929</c:v>
                </c:pt>
                <c:pt idx="119">
                  <c:v>42.89446799960055</c:v>
                </c:pt>
                <c:pt idx="120">
                  <c:v>42.83297755288887</c:v>
                </c:pt>
                <c:pt idx="121">
                  <c:v>42.772084460622949</c:v>
                </c:pt>
                <c:pt idx="122">
                  <c:v>42.711778054346254</c:v>
                </c:pt>
                <c:pt idx="123">
                  <c:v>42.65204794161253</c:v>
                </c:pt>
                <c:pt idx="124">
                  <c:v>42.592883996669151</c:v>
                </c:pt>
                <c:pt idx="125">
                  <c:v>42.534276351527573</c:v>
                </c:pt>
                <c:pt idx="126">
                  <c:v>42.47621538740097</c:v>
                </c:pt>
                <c:pt idx="127">
                  <c:v>42.418691726492341</c:v>
                </c:pt>
                <c:pt idx="128">
                  <c:v>42.36169622411488</c:v>
                </c:pt>
                <c:pt idx="129">
                  <c:v>42.305219961129758</c:v>
                </c:pt>
                <c:pt idx="130">
                  <c:v>42.249254236685282</c:v>
                </c:pt>
                <c:pt idx="131">
                  <c:v>42.193790561243858</c:v>
                </c:pt>
                <c:pt idx="132">
                  <c:v>42.138820649882923</c:v>
                </c:pt>
                <c:pt idx="133">
                  <c:v>42.084336415857216</c:v>
                </c:pt>
                <c:pt idx="134">
                  <c:v>42.030329964410193</c:v>
                </c:pt>
                <c:pt idx="135">
                  <c:v>41.976793586823348</c:v>
                </c:pt>
                <c:pt idx="136">
                  <c:v>41.923719754692442</c:v>
                </c:pt>
                <c:pt idx="137">
                  <c:v>41.871101114420412</c:v>
                </c:pt>
                <c:pt idx="138">
                  <c:v>41.81893048191742</c:v>
                </c:pt>
                <c:pt idx="139">
                  <c:v>41.767200837498557</c:v>
                </c:pt>
                <c:pt idx="140">
                  <c:v>41.715905320970599</c:v>
                </c:pt>
                <c:pt idx="141">
                  <c:v>41.665037226899464</c:v>
                </c:pt>
                <c:pt idx="142">
                  <c:v>41.61459000005074</c:v>
                </c:pt>
                <c:pt idx="143">
                  <c:v>41.564557230995291</c:v>
                </c:pt>
                <c:pt idx="144">
                  <c:v>41.514932651873345</c:v>
                </c:pt>
                <c:pt idx="145">
                  <c:v>41.465710132309916</c:v>
                </c:pt>
                <c:pt idx="146">
                  <c:v>41.41688367547556</c:v>
                </c:pt>
                <c:pt idx="147">
                  <c:v>41.368447414285924</c:v>
                </c:pt>
                <c:pt idx="148">
                  <c:v>41.320395607734376</c:v>
                </c:pt>
                <c:pt idx="149">
                  <c:v>41.272722637352679</c:v>
                </c:pt>
                <c:pt idx="150">
                  <c:v>41.225423003793523</c:v>
                </c:pt>
              </c:numCache>
            </c:numRef>
          </c:yVal>
          <c:smooth val="1"/>
          <c:extLst>
            <c:ext xmlns:c16="http://schemas.microsoft.com/office/drawing/2014/chart" uri="{C3380CC4-5D6E-409C-BE32-E72D297353CC}">
              <c16:uniqueId val="{00000002-A0BB-4740-98E5-DD3F0E9975CF}"/>
            </c:ext>
          </c:extLst>
        </c:ser>
        <c:ser>
          <c:idx val="3"/>
          <c:order val="3"/>
          <c:tx>
            <c:strRef>
              <c:f>Diagram!$R$7</c:f>
              <c:strCache>
                <c:ptCount val="1"/>
                <c:pt idx="0">
                  <c:v>X2U1</c:v>
                </c:pt>
              </c:strCache>
            </c:strRef>
          </c:tx>
          <c:spPr>
            <a:ln w="25400" cap="rnd">
              <a:solidFill>
                <a:schemeClr val="accent2">
                  <a:lumMod val="75000"/>
                </a:schemeClr>
              </a:solidFill>
              <a:prstDash val="sysDash"/>
              <a:round/>
            </a:ln>
            <a:effectLst/>
          </c:spPr>
          <c:marker>
            <c:symbol val="none"/>
          </c:marker>
          <c:xVal>
            <c:numRef>
              <c:f>Diagram!$O$8:$O$158</c:f>
              <c:numCache>
                <c:formatCode>0.00</c:formatCode>
                <c:ptCount val="151"/>
                <c:pt idx="0">
                  <c:v>0</c:v>
                </c:pt>
                <c:pt idx="1">
                  <c:v>2.0893274366524026</c:v>
                </c:pt>
                <c:pt idx="2">
                  <c:v>4.1186723371160783</c:v>
                </c:pt>
                <c:pt idx="3">
                  <c:v>6.0913983702936552</c:v>
                </c:pt>
                <c:pt idx="4">
                  <c:v>8.0106029614596803</c:v>
                </c:pt>
                <c:pt idx="5">
                  <c:v>9.8791440376124839</c:v>
                </c:pt>
                <c:pt idx="6">
                  <c:v>11.699663549066369</c:v>
                </c:pt>
                <c:pt idx="7">
                  <c:v>13.474608217372909</c:v>
                </c:pt>
                <c:pt idx="8">
                  <c:v>15.206247888627363</c:v>
                </c:pt>
                <c:pt idx="9">
                  <c:v>16.89669181263044</c:v>
                </c:pt>
                <c:pt idx="10">
                  <c:v>18.547903119848378</c:v>
                </c:pt>
                <c:pt idx="11">
                  <c:v>20.161711727752827</c:v>
                </c:pt>
                <c:pt idx="12">
                  <c:v>21.739825874420891</c:v>
                </c:pt>
                <c:pt idx="13">
                  <c:v>23.283842449029368</c:v>
                </c:pt>
                <c:pt idx="14">
                  <c:v>24.795256265117029</c:v>
                </c:pt>
                <c:pt idx="15">
                  <c:v>26.275468402433159</c:v>
                </c:pt>
                <c:pt idx="16">
                  <c:v>27.725793726205847</c:v>
                </c:pt>
                <c:pt idx="17">
                  <c:v>29.147467678231557</c:v>
                </c:pt>
                <c:pt idx="18">
                  <c:v>30.541652421889733</c:v>
                </c:pt>
                <c:pt idx="19">
                  <c:v>31.909442412672824</c:v>
                </c:pt>
                <c:pt idx="20">
                  <c:v>33.251869456810404</c:v>
                </c:pt>
                <c:pt idx="21">
                  <c:v>34.569907312820106</c:v>
                </c:pt>
                <c:pt idx="22">
                  <c:v>35.864475884140703</c:v>
                </c:pt>
                <c:pt idx="23">
                  <c:v>37.136445045234169</c:v>
                </c:pt>
                <c:pt idx="24">
                  <c:v>38.386638138545727</c:v>
                </c:pt>
                <c:pt idx="25">
                  <c:v>39.615835175370925</c:v>
                </c:pt>
                <c:pt idx="26">
                  <c:v>40.824775769902622</c:v>
                </c:pt>
                <c:pt idx="27">
                  <c:v>42.014161832435157</c:v>
                </c:pt>
                <c:pt idx="28">
                  <c:v>43.184660044823666</c:v>
                </c:pt>
                <c:pt idx="29">
                  <c:v>44.336904138772482</c:v>
                </c:pt>
                <c:pt idx="30">
                  <c:v>45.471496995311931</c:v>
                </c:pt>
                <c:pt idx="31">
                  <c:v>46.589012581874876</c:v>
                </c:pt>
                <c:pt idx="32">
                  <c:v>47.689997741665998</c:v>
                </c:pt>
                <c:pt idx="33">
                  <c:v>48.774973848503208</c:v>
                </c:pt>
                <c:pt idx="34">
                  <c:v>49.844438338966597</c:v>
                </c:pt>
                <c:pt idx="35">
                  <c:v>50.898866132505134</c:v>
                </c:pt>
                <c:pt idx="36">
                  <c:v>51.938710949094393</c:v>
                </c:pt>
                <c:pt idx="37">
                  <c:v>52.964406533102462</c:v>
                </c:pt>
                <c:pt idx="38">
                  <c:v>53.976367791184998</c:v>
                </c:pt>
                <c:pt idx="39">
                  <c:v>54.974991851286774</c:v>
                </c:pt>
                <c:pt idx="40">
                  <c:v>55.960659049160661</c:v>
                </c:pt>
                <c:pt idx="41">
                  <c:v>56.933733848220612</c:v>
                </c:pt>
                <c:pt idx="42">
                  <c:v>57.894565698011668</c:v>
                </c:pt>
                <c:pt idx="43">
                  <c:v>58.843489836101405</c:v>
                </c:pt>
                <c:pt idx="44">
                  <c:v>59.780828037767655</c:v>
                </c:pt>
                <c:pt idx="45">
                  <c:v>60.706889317470647</c:v>
                </c:pt>
                <c:pt idx="46">
                  <c:v>61.621970585748869</c:v>
                </c:pt>
                <c:pt idx="47">
                  <c:v>62.526357264864735</c:v>
                </c:pt>
                <c:pt idx="48">
                  <c:v>63.420323866240942</c:v>
                </c:pt>
                <c:pt idx="49">
                  <c:v>64.304134532473384</c:v>
                </c:pt>
                <c:pt idx="50">
                  <c:v>65.178043546472722</c:v>
                </c:pt>
                <c:pt idx="51">
                  <c:v>66.042295810077377</c:v>
                </c:pt>
                <c:pt idx="52">
                  <c:v>66.897127294288836</c:v>
                </c:pt>
                <c:pt idx="53">
                  <c:v>67.742765463107119</c:v>
                </c:pt>
                <c:pt idx="54">
                  <c:v>68.579429672786134</c:v>
                </c:pt>
                <c:pt idx="55">
                  <c:v>69.407331548184999</c:v>
                </c:pt>
                <c:pt idx="56">
                  <c:v>70.226675337761009</c:v>
                </c:pt>
                <c:pt idx="57">
                  <c:v>71.037658248629356</c:v>
                </c:pt>
                <c:pt idx="58">
                  <c:v>71.840470763007389</c:v>
                </c:pt>
                <c:pt idx="59">
                  <c:v>72.635296937259156</c:v>
                </c:pt>
                <c:pt idx="60">
                  <c:v>73.422314684667541</c:v>
                </c:pt>
                <c:pt idx="61">
                  <c:v>74.201696042975158</c:v>
                </c:pt>
                <c:pt idx="62">
                  <c:v>74.973607427660653</c:v>
                </c:pt>
                <c:pt idx="63">
                  <c:v>75.738209871845541</c:v>
                </c:pt>
                <c:pt idx="64">
                  <c:v>76.495659253662964</c:v>
                </c:pt>
                <c:pt idx="65">
                  <c:v>77.246106511860148</c:v>
                </c:pt>
                <c:pt idx="66">
                  <c:v>77.989697850351632</c:v>
                </c:pt>
                <c:pt idx="67">
                  <c:v>78.72657493239106</c:v>
                </c:pt>
                <c:pt idx="68">
                  <c:v>79.456875064981801</c:v>
                </c:pt>
                <c:pt idx="69">
                  <c:v>80.180731374105207</c:v>
                </c:pt>
                <c:pt idx="70">
                  <c:v>80.898272971305516</c:v>
                </c:pt>
                <c:pt idx="71">
                  <c:v>81.609625112133443</c:v>
                </c:pt>
                <c:pt idx="72">
                  <c:v>82.314909346918753</c:v>
                </c:pt>
                <c:pt idx="73">
                  <c:v>83.014243664308381</c:v>
                </c:pt>
                <c:pt idx="74">
                  <c:v>83.70774262798119</c:v>
                </c:pt>
                <c:pt idx="75">
                  <c:v>84.395517506920498</c:v>
                </c:pt>
                <c:pt idx="76">
                  <c:v>85.077676399603661</c:v>
                </c:pt>
                <c:pt idx="77">
                  <c:v>85.754324352443177</c:v>
                </c:pt>
                <c:pt idx="78">
                  <c:v>86.425563472793783</c:v>
                </c:pt>
                <c:pt idx="79">
                  <c:v>87.091493036819699</c:v>
                </c:pt>
                <c:pt idx="80">
                  <c:v>87.75220959249782</c:v>
                </c:pt>
                <c:pt idx="81">
                  <c:v>88.407807058016289</c:v>
                </c:pt>
                <c:pt idx="82">
                  <c:v>89.058376815810817</c:v>
                </c:pt>
                <c:pt idx="83">
                  <c:v>89.704007802467785</c:v>
                </c:pt>
                <c:pt idx="84">
                  <c:v>90.344786594708552</c:v>
                </c:pt>
                <c:pt idx="85">
                  <c:v>90.980797491656674</c:v>
                </c:pt>
                <c:pt idx="86">
                  <c:v>91.612122593577439</c:v>
                </c:pt>
                <c:pt idx="87">
                  <c:v>92.238841877269792</c:v>
                </c:pt>
                <c:pt idx="88">
                  <c:v>92.861033268277254</c:v>
                </c:pt>
                <c:pt idx="89">
                  <c:v>93.478772710077138</c:v>
                </c:pt>
                <c:pt idx="90">
                  <c:v>94.092134230398656</c:v>
                </c:pt>
                <c:pt idx="91">
                  <c:v>94.701190004808254</c:v>
                </c:pt>
                <c:pt idx="92">
                  <c:v>95.306010417697706</c:v>
                </c:pt>
                <c:pt idx="93">
                  <c:v>95.906664120799363</c:v>
                </c:pt>
                <c:pt idx="94">
                  <c:v>96.503218089346944</c:v>
                </c:pt>
                <c:pt idx="95">
                  <c:v>97.095737675994599</c:v>
                </c:pt>
                <c:pt idx="96">
                  <c:v>97.684286662599376</c:v>
                </c:pt>
                <c:pt idx="97">
                  <c:v>98.268927309968049</c:v>
                </c:pt>
                <c:pt idx="98">
                  <c:v>98.849720405662055</c:v>
                </c:pt>
                <c:pt idx="99">
                  <c:v>99.426725309951081</c:v>
                </c:pt>
                <c:pt idx="100">
                  <c:v>100.00000000000004</c:v>
                </c:pt>
                <c:pt idx="101">
                  <c:v>100.39880635869727</c:v>
                </c:pt>
                <c:pt idx="102">
                  <c:v>100.79525054384</c:v>
                </c:pt>
                <c:pt idx="103">
                  <c:v>101.18936950154857</c:v>
                </c:pt>
                <c:pt idx="104">
                  <c:v>101.58119924799415</c:v>
                </c:pt>
                <c:pt idx="105">
                  <c:v>101.9707749014984</c:v>
                </c:pt>
                <c:pt idx="106">
                  <c:v>102.35813071323072</c:v>
                </c:pt>
                <c:pt idx="107">
                  <c:v>102.74330009657686</c:v>
                </c:pt>
                <c:pt idx="108">
                  <c:v>103.12631565524875</c:v>
                </c:pt>
                <c:pt idx="109">
                  <c:v>103.50720921019992</c:v>
                </c:pt>
                <c:pt idx="110">
                  <c:v>103.88601182540849</c:v>
                </c:pt>
                <c:pt idx="111">
                  <c:v>104.26275383258445</c:v>
                </c:pt>
                <c:pt idx="112">
                  <c:v>104.63746485485606</c:v>
                </c:pt>
                <c:pt idx="113">
                  <c:v>105.01017382948585</c:v>
                </c:pt>
                <c:pt idx="114">
                  <c:v>105.38090902966405</c:v>
                </c:pt>
                <c:pt idx="115">
                  <c:v>105.74969808542544</c:v>
                </c:pt>
                <c:pt idx="116">
                  <c:v>106.11656800373106</c:v>
                </c:pt>
                <c:pt idx="117">
                  <c:v>106.4815451877562</c:v>
                </c:pt>
                <c:pt idx="118">
                  <c:v>106.84465545542126</c:v>
                </c:pt>
                <c:pt idx="119">
                  <c:v>107.20592405720284</c:v>
                </c:pt>
                <c:pt idx="120">
                  <c:v>107.56537569325704</c:v>
                </c:pt>
                <c:pt idx="121">
                  <c:v>107.92303452988911</c:v>
                </c:pt>
                <c:pt idx="122">
                  <c:v>108.27892421539747</c:v>
                </c:pt>
                <c:pt idx="123">
                  <c:v>108.63306789532258</c:v>
                </c:pt>
                <c:pt idx="124">
                  <c:v>108.9854882271262</c:v>
                </c:pt>
                <c:pt idx="125">
                  <c:v>109.33620739432783</c:v>
                </c:pt>
                <c:pt idx="126">
                  <c:v>109.68524712012221</c:v>
                </c:pt>
                <c:pt idx="127">
                  <c:v>110.03262868050039</c:v>
                </c:pt>
                <c:pt idx="128">
                  <c:v>110.37837291689719</c:v>
                </c:pt>
                <c:pt idx="129">
                  <c:v>110.72250024838468</c:v>
                </c:pt>
                <c:pt idx="130">
                  <c:v>111.06503068343223</c:v>
                </c:pt>
                <c:pt idx="131">
                  <c:v>111.40598383125115</c:v>
                </c:pt>
                <c:pt idx="132">
                  <c:v>111.74537891274203</c:v>
                </c:pt>
                <c:pt idx="133">
                  <c:v>112.08323477106126</c:v>
                </c:pt>
                <c:pt idx="134">
                  <c:v>112.41956988182308</c:v>
                </c:pt>
                <c:pt idx="135">
                  <c:v>112.75440236295192</c:v>
                </c:pt>
                <c:pt idx="136">
                  <c:v>113.08774998420014</c:v>
                </c:pt>
                <c:pt idx="137">
                  <c:v>113.4196301763442</c:v>
                </c:pt>
                <c:pt idx="138">
                  <c:v>113.75006004007287</c:v>
                </c:pt>
                <c:pt idx="139">
                  <c:v>114.07905635457979</c:v>
                </c:pt>
                <c:pt idx="140">
                  <c:v>114.40663558587231</c:v>
                </c:pt>
                <c:pt idx="141">
                  <c:v>114.73281389480776</c:v>
                </c:pt>
                <c:pt idx="142">
                  <c:v>115.0576071448682</c:v>
                </c:pt>
                <c:pt idx="143">
                  <c:v>115.38103090968394</c:v>
                </c:pt>
                <c:pt idx="144">
                  <c:v>115.70310048031529</c:v>
                </c:pt>
                <c:pt idx="145">
                  <c:v>116.02383087230228</c:v>
                </c:pt>
                <c:pt idx="146">
                  <c:v>116.34323683249143</c:v>
                </c:pt>
                <c:pt idx="147">
                  <c:v>116.66133284564742</c:v>
                </c:pt>
                <c:pt idx="148">
                  <c:v>116.97813314085857</c:v>
                </c:pt>
                <c:pt idx="149">
                  <c:v>117.29365169774368</c:v>
                </c:pt>
                <c:pt idx="150">
                  <c:v>117.60790225246738</c:v>
                </c:pt>
              </c:numCache>
            </c:numRef>
          </c:xVal>
          <c:yVal>
            <c:numRef>
              <c:f>Diagram!$R$8:$R$158</c:f>
              <c:numCache>
                <c:formatCode>General</c:formatCode>
                <c:ptCount val="151"/>
                <c:pt idx="1">
                  <c:v>231.92598227183612</c:v>
                </c:pt>
                <c:pt idx="2">
                  <c:v>173.39144298422326</c:v>
                </c:pt>
                <c:pt idx="3">
                  <c:v>146.61815958321435</c:v>
                </c:pt>
                <c:pt idx="4">
                  <c:v>130.37969537604889</c:v>
                </c:pt>
                <c:pt idx="5">
                  <c:v>119.1754421126487</c:v>
                </c:pt>
                <c:pt idx="6">
                  <c:v>110.84253822981601</c:v>
                </c:pt>
                <c:pt idx="7">
                  <c:v>104.33180045763626</c:v>
                </c:pt>
                <c:pt idx="8">
                  <c:v>99.063613438115837</c:v>
                </c:pt>
                <c:pt idx="9">
                  <c:v>94.687866122181163</c:v>
                </c:pt>
                <c:pt idx="10">
                  <c:v>90.978784093396541</c:v>
                </c:pt>
                <c:pt idx="11">
                  <c:v>87.783295102708649</c:v>
                </c:pt>
                <c:pt idx="12">
                  <c:v>84.993421016517814</c:v>
                </c:pt>
                <c:pt idx="13">
                  <c:v>82.530501766456752</c:v>
                </c:pt>
                <c:pt idx="14">
                  <c:v>80.335686135490363</c:v>
                </c:pt>
                <c:pt idx="15">
                  <c:v>78.363942842132147</c:v>
                </c:pt>
                <c:pt idx="16">
                  <c:v>76.580147536995099</c:v>
                </c:pt>
                <c:pt idx="17">
                  <c:v>74.956445011676166</c:v>
                </c:pt>
                <c:pt idx="18">
                  <c:v>73.47042255459003</c:v>
                </c:pt>
                <c:pt idx="19">
                  <c:v>72.103815048260117</c:v>
                </c:pt>
                <c:pt idx="20">
                  <c:v>70.841567936039681</c:v>
                </c:pt>
                <c:pt idx="21">
                  <c:v>69.671146685958618</c:v>
                </c:pt>
                <c:pt idx="22">
                  <c:v>68.582019568717442</c:v>
                </c:pt>
                <c:pt idx="23">
                  <c:v>67.565264556374331</c:v>
                </c:pt>
                <c:pt idx="24">
                  <c:v>66.613266594236649</c:v>
                </c:pt>
                <c:pt idx="25">
                  <c:v>65.719481666201233</c:v>
                </c:pt>
                <c:pt idx="26">
                  <c:v>64.878250902101612</c:v>
                </c:pt>
                <c:pt idx="27">
                  <c:v>64.084652645222945</c:v>
                </c:pt>
                <c:pt idx="28">
                  <c:v>63.334383644725584</c:v>
                </c:pt>
                <c:pt idx="29">
                  <c:v>62.623662829366822</c:v>
                </c:pt>
                <c:pt idx="30">
                  <c:v>61.949152759164527</c:v>
                </c:pt>
                <c:pt idx="31">
                  <c:v>61.307895040825358</c:v>
                </c:pt>
                <c:pt idx="32">
                  <c:v>60.697256865206725</c:v>
                </c:pt>
                <c:pt idx="33">
                  <c:v>60.114886472250006</c:v>
                </c:pt>
                <c:pt idx="34">
                  <c:v>59.558675833828786</c:v>
                </c:pt>
                <c:pt idx="35">
                  <c:v>59.026729211925854</c:v>
                </c:pt>
                <c:pt idx="36">
                  <c:v>58.51733652971042</c:v>
                </c:pt>
                <c:pt idx="37">
                  <c:v>58.028950708768804</c:v>
                </c:pt>
                <c:pt idx="38">
                  <c:v>57.560168293098748</c:v>
                </c:pt>
                <c:pt idx="39">
                  <c:v>57.109712811302813</c:v>
                </c:pt>
                <c:pt idx="40">
                  <c:v>56.676420431403102</c:v>
                </c:pt>
                <c:pt idx="41">
                  <c:v>56.259227544305574</c:v>
                </c:pt>
                <c:pt idx="42">
                  <c:v>55.857159977012515</c:v>
                </c:pt>
                <c:pt idx="43">
                  <c:v>55.469323588874467</c:v>
                </c:pt>
                <c:pt idx="44">
                  <c:v>55.094896046272019</c:v>
                </c:pt>
                <c:pt idx="45">
                  <c:v>54.733119605255325</c:v>
                </c:pt>
                <c:pt idx="46">
                  <c:v>54.383294759495662</c:v>
                </c:pt>
                <c:pt idx="47">
                  <c:v>54.044774633686231</c:v>
                </c:pt>
                <c:pt idx="48">
                  <c:v>53.716960021282937</c:v>
                </c:pt>
                <c:pt idx="49">
                  <c:v>53.399294980964051</c:v>
                </c:pt>
                <c:pt idx="50">
                  <c:v>53.091262919048248</c:v>
                </c:pt>
                <c:pt idx="51">
                  <c:v>52.792383095820369</c:v>
                </c:pt>
                <c:pt idx="52">
                  <c:v>52.502207502675716</c:v>
                </c:pt>
                <c:pt idx="53">
                  <c:v>52.220318064513457</c:v>
                </c:pt>
                <c:pt idx="54">
                  <c:v>51.946324128149058</c:v>
                </c:pt>
                <c:pt idx="55">
                  <c:v>51.67986020286871</c:v>
                </c:pt>
                <c:pt idx="56">
                  <c:v>51.420583923794489</c:v>
                </c:pt>
                <c:pt idx="57">
                  <c:v>51.168174212592355</c:v>
                </c:pt>
                <c:pt idx="58">
                  <c:v>50.922329613352431</c:v>
                </c:pt>
                <c:pt idx="59">
                  <c:v>50.682766784294934</c:v>
                </c:pt>
                <c:pt idx="60">
                  <c:v>50.449219128375731</c:v>
                </c:pt>
                <c:pt idx="61">
                  <c:v>50.221435547950499</c:v>
                </c:pt>
                <c:pt idx="62">
                  <c:v>49.999179310454579</c:v>
                </c:pt>
                <c:pt idx="63">
                  <c:v>49.782227013610623</c:v>
                </c:pt>
                <c:pt idx="64">
                  <c:v>49.570367640025658</c:v>
                </c:pt>
                <c:pt idx="65">
                  <c:v>49.363401692209926</c:v>
                </c:pt>
                <c:pt idx="66">
                  <c:v>49.161140400072135</c:v>
                </c:pt>
                <c:pt idx="67">
                  <c:v>48.963404993835475</c:v>
                </c:pt>
                <c:pt idx="68">
                  <c:v>48.770026036100298</c:v>
                </c:pt>
                <c:pt idx="69">
                  <c:v>48.580842807460719</c:v>
                </c:pt>
                <c:pt idx="70">
                  <c:v>48.395702740685266</c:v>
                </c:pt>
                <c:pt idx="71">
                  <c:v>48.214460898997778</c:v>
                </c:pt>
                <c:pt idx="72">
                  <c:v>48.036979494462095</c:v>
                </c:pt>
                <c:pt idx="73">
                  <c:v>47.86312744288616</c:v>
                </c:pt>
                <c:pt idx="74">
                  <c:v>47.692779952023038</c:v>
                </c:pt>
                <c:pt idx="75">
                  <c:v>47.525818140172802</c:v>
                </c:pt>
                <c:pt idx="76">
                  <c:v>47.362128682572859</c:v>
                </c:pt>
                <c:pt idx="77">
                  <c:v>47.201603483220573</c:v>
                </c:pt>
                <c:pt idx="78">
                  <c:v>47.044139369999954</c:v>
                </c:pt>
                <c:pt idx="79">
                  <c:v>46.889637811185871</c:v>
                </c:pt>
                <c:pt idx="80">
                  <c:v>46.738004651579885</c:v>
                </c:pt>
                <c:pt idx="81">
                  <c:v>46.589149866696118</c:v>
                </c:pt>
                <c:pt idx="82">
                  <c:v>46.442987333558101</c:v>
                </c:pt>
                <c:pt idx="83">
                  <c:v>46.299434616799743</c:v>
                </c:pt>
                <c:pt idx="84">
                  <c:v>46.158412768880012</c:v>
                </c:pt>
                <c:pt idx="85">
                  <c:v>46.01984614332649</c:v>
                </c:pt>
                <c:pt idx="86">
                  <c:v>45.883662220017612</c:v>
                </c:pt>
                <c:pt idx="87">
                  <c:v>45.749791441599356</c:v>
                </c:pt>
                <c:pt idx="88">
                  <c:v>45.618167060209238</c:v>
                </c:pt>
                <c:pt idx="89">
                  <c:v>45.488724993751383</c:v>
                </c:pt>
                <c:pt idx="90">
                  <c:v>45.361403691027355</c:v>
                </c:pt>
                <c:pt idx="91">
                  <c:v>45.236144005088391</c:v>
                </c:pt>
                <c:pt idx="92">
                  <c:v>45.112889074223247</c:v>
                </c:pt>
                <c:pt idx="93">
                  <c:v>44.991584210045524</c:v>
                </c:pt>
                <c:pt idx="94">
                  <c:v>44.872176792186437</c:v>
                </c:pt>
                <c:pt idx="95">
                  <c:v>44.754616169138266</c:v>
                </c:pt>
                <c:pt idx="96">
                  <c:v>44.638853564829205</c:v>
                </c:pt>
                <c:pt idx="97">
                  <c:v>44.524841990543642</c:v>
                </c:pt>
                <c:pt idx="98">
                  <c:v>44.412536161830339</c:v>
                </c:pt>
                <c:pt idx="99">
                  <c:v>44.301892420069443</c:v>
                </c:pt>
                <c:pt idx="100">
                  <c:v>44.192868658393323</c:v>
                </c:pt>
                <c:pt idx="101">
                  <c:v>44.117550000932312</c:v>
                </c:pt>
                <c:pt idx="102">
                  <c:v>44.043099888003432</c:v>
                </c:pt>
                <c:pt idx="103">
                  <c:v>43.969499934765324</c:v>
                </c:pt>
                <c:pt idx="104">
                  <c:v>43.896732319270903</c:v>
                </c:pt>
                <c:pt idx="105">
                  <c:v>43.824779760015346</c:v>
                </c:pt>
                <c:pt idx="106">
                  <c:v>43.753625494583979</c:v>
                </c:pt>
                <c:pt idx="107">
                  <c:v>43.683253259335928</c:v>
                </c:pt>
                <c:pt idx="108">
                  <c:v>43.613647270064561</c:v>
                </c:pt>
                <c:pt idx="109">
                  <c:v>43.544792203579057</c:v>
                </c:pt>
                <c:pt idx="110">
                  <c:v>43.476673180155053</c:v>
                </c:pt>
                <c:pt idx="111">
                  <c:v>43.409275746806046</c:v>
                </c:pt>
                <c:pt idx="112">
                  <c:v>43.342585861330043</c:v>
                </c:pt>
                <c:pt idx="113">
                  <c:v>43.276589877089208</c:v>
                </c:pt>
                <c:pt idx="114">
                  <c:v>43.211274528482328</c:v>
                </c:pt>
                <c:pt idx="115">
                  <c:v>43.146626917072979</c:v>
                </c:pt>
                <c:pt idx="116">
                  <c:v>43.082634498338415</c:v>
                </c:pt>
                <c:pt idx="117">
                  <c:v>43.019285069006251</c:v>
                </c:pt>
                <c:pt idx="118">
                  <c:v>42.956566754947929</c:v>
                </c:pt>
                <c:pt idx="119">
                  <c:v>42.89446799960055</c:v>
                </c:pt>
                <c:pt idx="120">
                  <c:v>42.83297755288887</c:v>
                </c:pt>
                <c:pt idx="121">
                  <c:v>42.772084460622949</c:v>
                </c:pt>
                <c:pt idx="122">
                  <c:v>42.711778054346254</c:v>
                </c:pt>
                <c:pt idx="123">
                  <c:v>42.65204794161253</c:v>
                </c:pt>
                <c:pt idx="124">
                  <c:v>42.592883996669151</c:v>
                </c:pt>
                <c:pt idx="125">
                  <c:v>42.534276351527573</c:v>
                </c:pt>
                <c:pt idx="126">
                  <c:v>42.47621538740097</c:v>
                </c:pt>
                <c:pt idx="127">
                  <c:v>42.418691726492341</c:v>
                </c:pt>
                <c:pt idx="128">
                  <c:v>42.36169622411488</c:v>
                </c:pt>
                <c:pt idx="129">
                  <c:v>42.305219961129758</c:v>
                </c:pt>
                <c:pt idx="130">
                  <c:v>42.249254236685282</c:v>
                </c:pt>
                <c:pt idx="131">
                  <c:v>42.193790561243858</c:v>
                </c:pt>
                <c:pt idx="132">
                  <c:v>42.138820649882923</c:v>
                </c:pt>
                <c:pt idx="133">
                  <c:v>42.084336415857216</c:v>
                </c:pt>
                <c:pt idx="134">
                  <c:v>42.030329964410193</c:v>
                </c:pt>
                <c:pt idx="135">
                  <c:v>41.976793586823348</c:v>
                </c:pt>
                <c:pt idx="136">
                  <c:v>41.923719754692442</c:v>
                </c:pt>
                <c:pt idx="137">
                  <c:v>41.871101114420412</c:v>
                </c:pt>
                <c:pt idx="138">
                  <c:v>41.81893048191742</c:v>
                </c:pt>
                <c:pt idx="139">
                  <c:v>41.767200837498557</c:v>
                </c:pt>
                <c:pt idx="140">
                  <c:v>41.715905320970599</c:v>
                </c:pt>
                <c:pt idx="141">
                  <c:v>41.665037226899464</c:v>
                </c:pt>
                <c:pt idx="142">
                  <c:v>41.61459000005074</c:v>
                </c:pt>
                <c:pt idx="143">
                  <c:v>41.564557230995291</c:v>
                </c:pt>
                <c:pt idx="144">
                  <c:v>41.514932651873345</c:v>
                </c:pt>
                <c:pt idx="145">
                  <c:v>41.465710132309916</c:v>
                </c:pt>
                <c:pt idx="146">
                  <c:v>41.41688367547556</c:v>
                </c:pt>
                <c:pt idx="147">
                  <c:v>41.368447414285924</c:v>
                </c:pt>
                <c:pt idx="148">
                  <c:v>41.320395607734376</c:v>
                </c:pt>
                <c:pt idx="149">
                  <c:v>41.272722637352679</c:v>
                </c:pt>
                <c:pt idx="150">
                  <c:v>41.225423003793523</c:v>
                </c:pt>
              </c:numCache>
            </c:numRef>
          </c:yVal>
          <c:smooth val="1"/>
          <c:extLst>
            <c:ext xmlns:c16="http://schemas.microsoft.com/office/drawing/2014/chart" uri="{C3380CC4-5D6E-409C-BE32-E72D297353CC}">
              <c16:uniqueId val="{00000003-A0BB-4740-98E5-DD3F0E9975CF}"/>
            </c:ext>
          </c:extLst>
        </c:ser>
        <c:ser>
          <c:idx val="4"/>
          <c:order val="4"/>
          <c:tx>
            <c:strRef>
              <c:f>Diagram!$S$7</c:f>
              <c:strCache>
                <c:ptCount val="1"/>
                <c:pt idx="0">
                  <c:v>axis</c:v>
                </c:pt>
              </c:strCache>
            </c:strRef>
          </c:tx>
          <c:spPr>
            <a:ln w="38100" cap="rnd">
              <a:solidFill>
                <a:schemeClr val="tx1"/>
              </a:solidFill>
              <a:round/>
            </a:ln>
            <a:effectLst/>
          </c:spPr>
          <c:marker>
            <c:symbol val="none"/>
          </c:marker>
          <c:dPt>
            <c:idx val="1"/>
            <c:marker>
              <c:symbol val="none"/>
            </c:marker>
            <c:bubble3D val="0"/>
            <c:spPr>
              <a:ln w="44450" cap="rnd">
                <a:solidFill>
                  <a:schemeClr val="tx1"/>
                </a:solidFill>
                <a:round/>
              </a:ln>
              <a:effectLst/>
            </c:spPr>
            <c:extLst>
              <c:ext xmlns:c16="http://schemas.microsoft.com/office/drawing/2014/chart" uri="{C3380CC4-5D6E-409C-BE32-E72D297353CC}">
                <c16:uniqueId val="{00000005-A0BB-4740-98E5-DD3F0E9975CF}"/>
              </c:ext>
            </c:extLst>
          </c:dPt>
          <c:xVal>
            <c:numRef>
              <c:f>Diagram!$S$9:$S$10</c:f>
              <c:numCache>
                <c:formatCode>General</c:formatCode>
                <c:ptCount val="2"/>
                <c:pt idx="0">
                  <c:v>0</c:v>
                </c:pt>
                <c:pt idx="1">
                  <c:v>100</c:v>
                </c:pt>
              </c:numCache>
            </c:numRef>
          </c:xVal>
          <c:yVal>
            <c:numRef>
              <c:f>Diagram!$T$9:$T$10</c:f>
              <c:numCache>
                <c:formatCode>General</c:formatCode>
                <c:ptCount val="2"/>
                <c:pt idx="0">
                  <c:v>0</c:v>
                </c:pt>
                <c:pt idx="1">
                  <c:v>0</c:v>
                </c:pt>
              </c:numCache>
            </c:numRef>
          </c:yVal>
          <c:smooth val="1"/>
          <c:extLst>
            <c:ext xmlns:c16="http://schemas.microsoft.com/office/drawing/2014/chart" uri="{C3380CC4-5D6E-409C-BE32-E72D297353CC}">
              <c16:uniqueId val="{00000006-A0BB-4740-98E5-DD3F0E9975CF}"/>
            </c:ext>
          </c:extLst>
        </c:ser>
        <c:ser>
          <c:idx val="5"/>
          <c:order val="5"/>
          <c:tx>
            <c:strRef>
              <c:f>Diagram!$S$7</c:f>
              <c:strCache>
                <c:ptCount val="1"/>
                <c:pt idx="0">
                  <c:v>axis</c:v>
                </c:pt>
              </c:strCache>
            </c:strRef>
          </c:tx>
          <c:spPr>
            <a:ln w="44450" cap="rnd">
              <a:solidFill>
                <a:schemeClr val="tx1"/>
              </a:solidFill>
              <a:round/>
            </a:ln>
            <a:effectLst/>
          </c:spPr>
          <c:marker>
            <c:symbol val="none"/>
          </c:marker>
          <c:xVal>
            <c:numRef>
              <c:f>Diagram!$S$12:$S$13</c:f>
              <c:numCache>
                <c:formatCode>General</c:formatCode>
                <c:ptCount val="2"/>
                <c:pt idx="0">
                  <c:v>0</c:v>
                </c:pt>
                <c:pt idx="1">
                  <c:v>0</c:v>
                </c:pt>
              </c:numCache>
            </c:numRef>
          </c:xVal>
          <c:yVal>
            <c:numRef>
              <c:f>Diagram!$T$12:$T$13</c:f>
              <c:numCache>
                <c:formatCode>General</c:formatCode>
                <c:ptCount val="2"/>
                <c:pt idx="0">
                  <c:v>100</c:v>
                </c:pt>
                <c:pt idx="1">
                  <c:v>0</c:v>
                </c:pt>
              </c:numCache>
            </c:numRef>
          </c:yVal>
          <c:smooth val="1"/>
          <c:extLst>
            <c:ext xmlns:c16="http://schemas.microsoft.com/office/drawing/2014/chart" uri="{C3380CC4-5D6E-409C-BE32-E72D297353CC}">
              <c16:uniqueId val="{00000007-A0BB-4740-98E5-DD3F0E9975CF}"/>
            </c:ext>
          </c:extLst>
        </c:ser>
        <c:ser>
          <c:idx val="6"/>
          <c:order val="6"/>
          <c:tx>
            <c:v>p1p20</c:v>
          </c:tx>
          <c:spPr>
            <a:ln w="9525" cap="rnd">
              <a:solidFill>
                <a:srgbClr val="FF0000"/>
              </a:solidFill>
              <a:round/>
            </a:ln>
            <a:effectLst/>
          </c:spPr>
          <c:marker>
            <c:symbol val="none"/>
          </c:marker>
          <c:xVal>
            <c:numRef>
              <c:f>Diagram!$U$9:$U$11</c:f>
              <c:numCache>
                <c:formatCode>General</c:formatCode>
                <c:ptCount val="3"/>
                <c:pt idx="0">
                  <c:v>32.814463130258986</c:v>
                </c:pt>
                <c:pt idx="1">
                  <c:v>0</c:v>
                </c:pt>
                <c:pt idx="2">
                  <c:v>109.38154376752993</c:v>
                </c:pt>
              </c:numCache>
            </c:numRef>
          </c:xVal>
          <c:yVal>
            <c:numRef>
              <c:f>Diagram!$V$9:$V$11</c:f>
              <c:numCache>
                <c:formatCode>General</c:formatCode>
                <c:ptCount val="3"/>
                <c:pt idx="0">
                  <c:v>71.244735394751231</c:v>
                </c:pt>
                <c:pt idx="1">
                  <c:v>101.77819342107318</c:v>
                </c:pt>
                <c:pt idx="2">
                  <c:v>0</c:v>
                </c:pt>
              </c:numCache>
            </c:numRef>
          </c:yVal>
          <c:smooth val="1"/>
          <c:extLst>
            <c:ext xmlns:c16="http://schemas.microsoft.com/office/drawing/2014/chart" uri="{C3380CC4-5D6E-409C-BE32-E72D297353CC}">
              <c16:uniqueId val="{00000008-A0BB-4740-98E5-DD3F0E9975CF}"/>
            </c:ext>
          </c:extLst>
        </c:ser>
        <c:ser>
          <c:idx val="7"/>
          <c:order val="7"/>
          <c:tx>
            <c:v>p1p21</c:v>
          </c:tx>
          <c:spPr>
            <a:ln w="9525" cap="rnd">
              <a:solidFill>
                <a:srgbClr val="FF0000"/>
              </a:solidFill>
              <a:prstDash val="dash"/>
              <a:round/>
            </a:ln>
            <a:effectLst/>
          </c:spPr>
          <c:marker>
            <c:symbol val="none"/>
          </c:marker>
          <c:xVal>
            <c:numRef>
              <c:f>Diagram!$U$12:$U$14</c:f>
              <c:numCache>
                <c:formatCode>General</c:formatCode>
                <c:ptCount val="3"/>
                <c:pt idx="0">
                  <c:v>32.814463130258986</c:v>
                </c:pt>
                <c:pt idx="1">
                  <c:v>0</c:v>
                </c:pt>
                <c:pt idx="2">
                  <c:v>109.38154376752993</c:v>
                </c:pt>
              </c:numCache>
            </c:numRef>
          </c:xVal>
          <c:yVal>
            <c:numRef>
              <c:f>Diagram!$V$12:$V$14</c:f>
              <c:numCache>
                <c:formatCode>General</c:formatCode>
                <c:ptCount val="3"/>
                <c:pt idx="0">
                  <c:v>71.244735394751231</c:v>
                </c:pt>
                <c:pt idx="1">
                  <c:v>101.77819342107318</c:v>
                </c:pt>
                <c:pt idx="2">
                  <c:v>0</c:v>
                </c:pt>
              </c:numCache>
            </c:numRef>
          </c:yVal>
          <c:smooth val="1"/>
          <c:extLst>
            <c:ext xmlns:c16="http://schemas.microsoft.com/office/drawing/2014/chart" uri="{C3380CC4-5D6E-409C-BE32-E72D297353CC}">
              <c16:uniqueId val="{00000009-A0BB-4740-98E5-DD3F0E9975CF}"/>
            </c:ext>
          </c:extLst>
        </c:ser>
        <c:dLbls>
          <c:showLegendKey val="0"/>
          <c:showVal val="0"/>
          <c:showCatName val="0"/>
          <c:showSerName val="0"/>
          <c:showPercent val="0"/>
          <c:showBubbleSize val="0"/>
        </c:dLbls>
        <c:axId val="371296784"/>
        <c:axId val="371297344"/>
      </c:scatterChart>
      <c:valAx>
        <c:axId val="371296784"/>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1297344"/>
        <c:crosses val="autoZero"/>
        <c:crossBetween val="midCat"/>
      </c:valAx>
      <c:valAx>
        <c:axId val="371297344"/>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1296784"/>
        <c:crosses val="autoZero"/>
        <c:crossBetween val="midCat"/>
      </c:valAx>
      <c:spPr>
        <a:solidFill>
          <a:schemeClr val="accent6">
            <a:lumMod val="20000"/>
            <a:lumOff val="80000"/>
          </a:schemeClr>
        </a:solidFill>
        <a:ln>
          <a:noFill/>
        </a:ln>
        <a:effectLst/>
      </c:spPr>
    </c:plotArea>
    <c:plotVisOnly val="0"/>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1.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542925</xdr:colOff>
      <xdr:row>0</xdr:row>
      <xdr:rowOff>152399</xdr:rowOff>
    </xdr:from>
    <xdr:to>
      <xdr:col>10</xdr:col>
      <xdr:colOff>9525</xdr:colOff>
      <xdr:row>27</xdr:row>
      <xdr:rowOff>9524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42925" y="152399"/>
          <a:ext cx="5562600" cy="500062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i="0">
              <a:solidFill>
                <a:schemeClr val="dk1"/>
              </a:solidFill>
              <a:effectLst/>
              <a:latin typeface="+mn-lt"/>
              <a:ea typeface="+mn-ea"/>
              <a:cs typeface="+mn-cs"/>
            </a:rPr>
            <a:t>Simulation tool for general equilibrium based on Microsoft Excel</a:t>
          </a:r>
        </a:p>
        <a:p>
          <a:endParaRPr lang="en-ID" sz="1100" b="0" i="0">
            <a:solidFill>
              <a:schemeClr val="dk1"/>
            </a:solidFill>
            <a:effectLst/>
            <a:latin typeface="+mn-lt"/>
            <a:ea typeface="+mn-ea"/>
            <a:cs typeface="+mn-cs"/>
          </a:endParaRPr>
        </a:p>
        <a:p>
          <a:r>
            <a:rPr lang="en-ID" sz="1100" b="0" i="0">
              <a:solidFill>
                <a:schemeClr val="dk1"/>
              </a:solidFill>
              <a:effectLst/>
              <a:latin typeface="+mn-lt"/>
              <a:ea typeface="+mn-ea"/>
              <a:cs typeface="+mn-cs"/>
            </a:rPr>
            <a:t>This simulation tool is used to demonstrate general equilibrium in a closed economy with two goods and two factors of production (capital and labor), which is a subtopic of microeconomic theory. Teachers or students can modify parameters such as the availability of labor, capital, production function parameters, and consumer preference parameters to see their graphical impact on the new general equilibrium. This simulation tool is programmed using Microsoft Excel software based on the underlying theoretical equations.</a:t>
          </a:r>
        </a:p>
        <a:p>
          <a:endParaRPr lang="id-ID" sz="1100"/>
        </a:p>
        <a:p>
          <a:r>
            <a:rPr lang="en-US" sz="1100"/>
            <a:t>Graphs</a:t>
          </a:r>
          <a:r>
            <a:rPr lang="en-US" sz="1100" baseline="0"/>
            <a:t> based on the following specification:</a:t>
          </a:r>
          <a:endParaRPr lang="id-ID" sz="1100" baseline="0"/>
        </a:p>
        <a:p>
          <a:endParaRPr lang="id-ID" sz="1100"/>
        </a:p>
        <a:p>
          <a:r>
            <a:rPr lang="en-US" sz="1100"/>
            <a:t>Technology</a:t>
          </a:r>
          <a:endParaRPr lang="id-ID" sz="1100"/>
        </a:p>
        <a:p>
          <a:endParaRPr lang="id-ID" sz="1100"/>
        </a:p>
        <a:p>
          <a:r>
            <a:rPr lang="en-US" sz="1100"/>
            <a:t>Consumer's preference</a:t>
          </a:r>
          <a:endParaRPr lang="id-ID" sz="1100"/>
        </a:p>
        <a:p>
          <a:endParaRPr lang="id-ID" sz="1100"/>
        </a:p>
        <a:p>
          <a:r>
            <a:rPr lang="id-ID" sz="1100"/>
            <a:t>Endowment</a:t>
          </a:r>
        </a:p>
        <a:p>
          <a:endParaRPr lang="id-ID" sz="1100"/>
        </a:p>
        <a:p>
          <a:r>
            <a:rPr lang="id-ID" sz="1100" b="1"/>
            <a:t>Instruksi simulasi</a:t>
          </a:r>
          <a:endParaRPr lang="id-ID" sz="1100" b="0"/>
        </a:p>
        <a:p>
          <a:r>
            <a:rPr lang="id-ID" sz="1100" b="0"/>
            <a:t>Untuk melakukan simulasi pengguna</a:t>
          </a:r>
          <a:r>
            <a:rPr lang="id-ID" sz="1100" b="0" baseline="0"/>
            <a:t> alat peraga dapat membuka sheet "Diagram" dan parameter dapat dirubah-rubah menggunakan panel berikut:</a:t>
          </a:r>
        </a:p>
        <a:p>
          <a:endParaRPr lang="id-ID" sz="1100" b="1"/>
        </a:p>
        <a:p>
          <a:endParaRPr lang="id-ID" sz="1100" b="1"/>
        </a:p>
        <a:p>
          <a:endParaRPr lang="id-ID" sz="1100" b="1"/>
        </a:p>
        <a:p>
          <a:endParaRPr lang="id-ID" sz="1100" b="1"/>
        </a:p>
        <a:p>
          <a:endParaRPr lang="id-ID" sz="1100" b="1"/>
        </a:p>
        <a:p>
          <a:r>
            <a:rPr lang="id-ID" sz="1100" b="0"/>
            <a:t>Dimana</a:t>
          </a:r>
          <a:r>
            <a:rPr lang="id-ID" sz="1100" b="0" baseline="0"/>
            <a:t> kalau parameter dinaikkan maka pengguna tinggal mengklik panah keatas, dan kalau parameter mau diturunkan pengguna tinggal mengklik panak kebawan. Otomatis grafik akan menunjukkan dampak dari perubahan tersebut.</a:t>
          </a:r>
          <a:endParaRPr lang="id-ID" sz="1100" b="0"/>
        </a:p>
      </xdr:txBody>
    </xdr:sp>
    <xdr:clientData/>
  </xdr:twoCellAnchor>
  <xdr:twoCellAnchor editAs="oneCell">
    <xdr:from>
      <xdr:col>4</xdr:col>
      <xdr:colOff>28575</xdr:colOff>
      <xdr:row>10</xdr:row>
      <xdr:rowOff>142875</xdr:rowOff>
    </xdr:from>
    <xdr:to>
      <xdr:col>7</xdr:col>
      <xdr:colOff>399775</xdr:colOff>
      <xdr:row>11</xdr:row>
      <xdr:rowOff>142851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66975" y="2047875"/>
          <a:ext cx="2200000" cy="190476"/>
        </a:xfrm>
        <a:prstGeom prst="rect">
          <a:avLst/>
        </a:prstGeom>
      </xdr:spPr>
    </xdr:pic>
    <xdr:clientData/>
  </xdr:twoCellAnchor>
  <xdr:twoCellAnchor editAs="oneCell">
    <xdr:from>
      <xdr:col>3</xdr:col>
      <xdr:colOff>114300</xdr:colOff>
      <xdr:row>12</xdr:row>
      <xdr:rowOff>142875</xdr:rowOff>
    </xdr:from>
    <xdr:to>
      <xdr:col>4</xdr:col>
      <xdr:colOff>323748</xdr:colOff>
      <xdr:row>13</xdr:row>
      <xdr:rowOff>123804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943100" y="2428875"/>
          <a:ext cx="819048" cy="171429"/>
        </a:xfrm>
        <a:prstGeom prst="rect">
          <a:avLst/>
        </a:prstGeom>
      </xdr:spPr>
    </xdr:pic>
    <xdr:clientData/>
  </xdr:twoCellAnchor>
  <xdr:twoCellAnchor editAs="oneCell">
    <xdr:from>
      <xdr:col>2</xdr:col>
      <xdr:colOff>295275</xdr:colOff>
      <xdr:row>14</xdr:row>
      <xdr:rowOff>104775</xdr:rowOff>
    </xdr:from>
    <xdr:to>
      <xdr:col>5</xdr:col>
      <xdr:colOff>447427</xdr:colOff>
      <xdr:row>15</xdr:row>
      <xdr:rowOff>114275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514475" y="2771775"/>
          <a:ext cx="1980952" cy="200000"/>
        </a:xfrm>
        <a:prstGeom prst="rect">
          <a:avLst/>
        </a:prstGeom>
      </xdr:spPr>
    </xdr:pic>
    <xdr:clientData/>
  </xdr:twoCellAnchor>
  <xdr:twoCellAnchor editAs="oneCell">
    <xdr:from>
      <xdr:col>1</xdr:col>
      <xdr:colOff>76200</xdr:colOff>
      <xdr:row>19</xdr:row>
      <xdr:rowOff>57150</xdr:rowOff>
    </xdr:from>
    <xdr:to>
      <xdr:col>8</xdr:col>
      <xdr:colOff>589952</xdr:colOff>
      <xdr:row>23</xdr:row>
      <xdr:rowOff>123721</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85800" y="3676650"/>
          <a:ext cx="4780952" cy="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38101</xdr:colOff>
      <xdr:row>8</xdr:row>
      <xdr:rowOff>9525</xdr:rowOff>
    </xdr:from>
    <xdr:to>
      <xdr:col>39</xdr:col>
      <xdr:colOff>190500</xdr:colOff>
      <xdr:row>29</xdr:row>
      <xdr:rowOff>50799</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114300</xdr:colOff>
      <xdr:row>8</xdr:row>
      <xdr:rowOff>28574</xdr:rowOff>
    </xdr:from>
    <xdr:to>
      <xdr:col>47</xdr:col>
      <xdr:colOff>523875</xdr:colOff>
      <xdr:row>28</xdr:row>
      <xdr:rowOff>180973</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200025</xdr:colOff>
      <xdr:row>5</xdr:row>
      <xdr:rowOff>28575</xdr:rowOff>
    </xdr:from>
    <xdr:to>
      <xdr:col>32</xdr:col>
      <xdr:colOff>409473</xdr:colOff>
      <xdr:row>6</xdr:row>
      <xdr:rowOff>9504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18116550" y="981075"/>
          <a:ext cx="819048" cy="171429"/>
        </a:xfrm>
        <a:prstGeom prst="rect">
          <a:avLst/>
        </a:prstGeom>
      </xdr:spPr>
    </xdr:pic>
    <xdr:clientData/>
  </xdr:twoCellAnchor>
  <xdr:twoCellAnchor editAs="oneCell">
    <xdr:from>
      <xdr:col>31</xdr:col>
      <xdr:colOff>219075</xdr:colOff>
      <xdr:row>6</xdr:row>
      <xdr:rowOff>9525</xdr:rowOff>
    </xdr:from>
    <xdr:to>
      <xdr:col>34</xdr:col>
      <xdr:colOff>371227</xdr:colOff>
      <xdr:row>7</xdr:row>
      <xdr:rowOff>19025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4"/>
        <a:stretch>
          <a:fillRect/>
        </a:stretch>
      </xdr:blipFill>
      <xdr:spPr>
        <a:xfrm>
          <a:off x="18135600" y="1152525"/>
          <a:ext cx="1980952" cy="200000"/>
        </a:xfrm>
        <a:prstGeom prst="rect">
          <a:avLst/>
        </a:prstGeom>
      </xdr:spPr>
    </xdr:pic>
    <xdr:clientData/>
  </xdr:twoCellAnchor>
  <xdr:twoCellAnchor editAs="oneCell">
    <xdr:from>
      <xdr:col>31</xdr:col>
      <xdr:colOff>247650</xdr:colOff>
      <xdr:row>4</xdr:row>
      <xdr:rowOff>28575</xdr:rowOff>
    </xdr:from>
    <xdr:to>
      <xdr:col>35</xdr:col>
      <xdr:colOff>9250</xdr:colOff>
      <xdr:row>5</xdr:row>
      <xdr:rowOff>28551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5"/>
        <a:stretch>
          <a:fillRect/>
        </a:stretch>
      </xdr:blipFill>
      <xdr:spPr>
        <a:xfrm>
          <a:off x="18164175" y="790575"/>
          <a:ext cx="2200000" cy="190476"/>
        </a:xfrm>
        <a:prstGeom prst="rect">
          <a:avLst/>
        </a:prstGeom>
      </xdr:spPr>
    </xdr:pic>
    <xdr:clientData/>
  </xdr:twoCellAnchor>
  <xdr:twoCellAnchor editAs="oneCell">
    <xdr:from>
      <xdr:col>40</xdr:col>
      <xdr:colOff>323850</xdr:colOff>
      <xdr:row>2</xdr:row>
      <xdr:rowOff>152400</xdr:rowOff>
    </xdr:from>
    <xdr:to>
      <xdr:col>41</xdr:col>
      <xdr:colOff>9496</xdr:colOff>
      <xdr:row>3</xdr:row>
      <xdr:rowOff>184121</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6"/>
        <a:stretch>
          <a:fillRect/>
        </a:stretch>
      </xdr:blipFill>
      <xdr:spPr>
        <a:xfrm>
          <a:off x="23783925" y="533400"/>
          <a:ext cx="228571" cy="228571"/>
        </a:xfrm>
        <a:prstGeom prst="rect">
          <a:avLst/>
        </a:prstGeom>
      </xdr:spPr>
    </xdr:pic>
    <xdr:clientData/>
  </xdr:twoCellAnchor>
  <xdr:twoCellAnchor editAs="oneCell">
    <xdr:from>
      <xdr:col>41</xdr:col>
      <xdr:colOff>323850</xdr:colOff>
      <xdr:row>2</xdr:row>
      <xdr:rowOff>171450</xdr:rowOff>
    </xdr:from>
    <xdr:to>
      <xdr:col>41</xdr:col>
      <xdr:colOff>533374</xdr:colOff>
      <xdr:row>4</xdr:row>
      <xdr:rowOff>9498</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a:stretch>
          <a:fillRect/>
        </a:stretch>
      </xdr:blipFill>
      <xdr:spPr>
        <a:xfrm>
          <a:off x="24326850" y="552450"/>
          <a:ext cx="209524" cy="219048"/>
        </a:xfrm>
        <a:prstGeom prst="rect">
          <a:avLst/>
        </a:prstGeom>
      </xdr:spPr>
    </xdr:pic>
    <xdr:clientData/>
  </xdr:twoCellAnchor>
  <xdr:twoCellAnchor editAs="oneCell">
    <xdr:from>
      <xdr:col>42</xdr:col>
      <xdr:colOff>349250</xdr:colOff>
      <xdr:row>2</xdr:row>
      <xdr:rowOff>158750</xdr:rowOff>
    </xdr:from>
    <xdr:to>
      <xdr:col>42</xdr:col>
      <xdr:colOff>530202</xdr:colOff>
      <xdr:row>3</xdr:row>
      <xdr:rowOff>155552</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8"/>
        <a:stretch>
          <a:fillRect/>
        </a:stretch>
      </xdr:blipFill>
      <xdr:spPr>
        <a:xfrm>
          <a:off x="8604250" y="527050"/>
          <a:ext cx="180952" cy="180952"/>
        </a:xfrm>
        <a:prstGeom prst="rect">
          <a:avLst/>
        </a:prstGeom>
      </xdr:spPr>
    </xdr:pic>
    <xdr:clientData/>
  </xdr:twoCellAnchor>
  <xdr:twoCellAnchor editAs="oneCell">
    <xdr:from>
      <xdr:col>43</xdr:col>
      <xdr:colOff>352425</xdr:colOff>
      <xdr:row>3</xdr:row>
      <xdr:rowOff>0</xdr:rowOff>
    </xdr:from>
    <xdr:to>
      <xdr:col>43</xdr:col>
      <xdr:colOff>533377</xdr:colOff>
      <xdr:row>3</xdr:row>
      <xdr:rowOff>184126</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9"/>
        <a:stretch>
          <a:fillRect/>
        </a:stretch>
      </xdr:blipFill>
      <xdr:spPr>
        <a:xfrm>
          <a:off x="25441275" y="571500"/>
          <a:ext cx="180952" cy="190476"/>
        </a:xfrm>
        <a:prstGeom prst="rect">
          <a:avLst/>
        </a:prstGeom>
      </xdr:spPr>
    </xdr:pic>
    <xdr:clientData/>
  </xdr:twoCellAnchor>
  <xdr:twoCellAnchor editAs="oneCell">
    <xdr:from>
      <xdr:col>44</xdr:col>
      <xdr:colOff>361950</xdr:colOff>
      <xdr:row>3</xdr:row>
      <xdr:rowOff>47625</xdr:rowOff>
    </xdr:from>
    <xdr:to>
      <xdr:col>45</xdr:col>
      <xdr:colOff>66644</xdr:colOff>
      <xdr:row>3</xdr:row>
      <xdr:rowOff>184132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0"/>
        <a:stretch>
          <a:fillRect/>
        </a:stretch>
      </xdr:blipFill>
      <xdr:spPr>
        <a:xfrm>
          <a:off x="25993725" y="619125"/>
          <a:ext cx="247619" cy="142857"/>
        </a:xfrm>
        <a:prstGeom prst="rect">
          <a:avLst/>
        </a:prstGeom>
      </xdr:spPr>
    </xdr:pic>
    <xdr:clientData/>
  </xdr:twoCellAnchor>
  <xdr:twoCellAnchor editAs="oneCell">
    <xdr:from>
      <xdr:col>45</xdr:col>
      <xdr:colOff>361950</xdr:colOff>
      <xdr:row>3</xdr:row>
      <xdr:rowOff>0</xdr:rowOff>
    </xdr:from>
    <xdr:to>
      <xdr:col>46</xdr:col>
      <xdr:colOff>38073</xdr:colOff>
      <xdr:row>3</xdr:row>
      <xdr:rowOff>180952</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1"/>
        <a:stretch>
          <a:fillRect/>
        </a:stretch>
      </xdr:blipFill>
      <xdr:spPr>
        <a:xfrm>
          <a:off x="26536650" y="571500"/>
          <a:ext cx="219048" cy="180952"/>
        </a:xfrm>
        <a:prstGeom prst="rect">
          <a:avLst/>
        </a:prstGeom>
      </xdr:spPr>
    </xdr:pic>
    <xdr:clientData/>
  </xdr:twoCellAnchor>
  <xdr:twoCellAnchor editAs="oneCell">
    <xdr:from>
      <xdr:col>46</xdr:col>
      <xdr:colOff>323850</xdr:colOff>
      <xdr:row>3</xdr:row>
      <xdr:rowOff>19050</xdr:rowOff>
    </xdr:from>
    <xdr:to>
      <xdr:col>47</xdr:col>
      <xdr:colOff>47592</xdr:colOff>
      <xdr:row>3</xdr:row>
      <xdr:rowOff>180955</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2"/>
        <a:stretch>
          <a:fillRect/>
        </a:stretch>
      </xdr:blipFill>
      <xdr:spPr>
        <a:xfrm>
          <a:off x="27041475" y="590550"/>
          <a:ext cx="266667" cy="16190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0.53055</cdr:x>
      <cdr:y>0.0232</cdr:y>
    </cdr:from>
    <cdr:to>
      <cdr:x>0.92915</cdr:x>
      <cdr:y>0.04992</cdr:y>
    </cdr:to>
    <cdr:grpSp>
      <cdr:nvGrpSpPr>
        <cdr:cNvPr id="17" name="Group 16">
          <a:extLst xmlns:a="http://schemas.openxmlformats.org/drawingml/2006/main">
            <a:ext uri="{FF2B5EF4-FFF2-40B4-BE49-F238E27FC236}">
              <a16:creationId xmlns:a16="http://schemas.microsoft.com/office/drawing/2014/main" id="{0757B5AC-9485-E059-64F0-A1B0E07D39BD}"/>
            </a:ext>
          </a:extLst>
        </cdr:cNvPr>
        <cdr:cNvGrpSpPr/>
      </cdr:nvGrpSpPr>
      <cdr:grpSpPr>
        <a:xfrm xmlns:a="http://schemas.openxmlformats.org/drawingml/2006/main">
          <a:off x="3302455" y="93769"/>
          <a:ext cx="2481120" cy="107996"/>
          <a:chOff x="3353844" y="93784"/>
          <a:chExt cx="2541109" cy="108000"/>
        </a:xfrm>
      </cdr:grpSpPr>
      <cdr:cxnSp macro="">
        <cdr:nvCxnSpPr>
          <cdr:cNvPr id="6" name="Straight Arrow Connector 5">
            <a:extLst xmlns:a="http://schemas.openxmlformats.org/drawingml/2006/main">
              <a:ext uri="{FF2B5EF4-FFF2-40B4-BE49-F238E27FC236}">
                <a16:creationId xmlns:a16="http://schemas.microsoft.com/office/drawing/2014/main" id="{4476F13E-FC91-EB2B-38A9-AFA041F64B72}"/>
              </a:ext>
            </a:extLst>
          </cdr:cNvPr>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6" name="Straight Connector 15">
            <a:extLst xmlns:a="http://schemas.openxmlformats.org/drawingml/2006/main">
              <a:ext uri="{FF2B5EF4-FFF2-40B4-BE49-F238E27FC236}">
                <a16:creationId xmlns:a16="http://schemas.microsoft.com/office/drawing/2014/main" id="{E46BEB38-72D7-CDC5-4663-49341763B357}"/>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0.94495</cdr:x>
      <cdr:y>0.07306</cdr:y>
    </cdr:from>
    <cdr:to>
      <cdr:x>0.96185</cdr:x>
      <cdr:y>0.46248</cdr:y>
    </cdr:to>
    <cdr:grpSp>
      <cdr:nvGrpSpPr>
        <cdr:cNvPr id="18" name="Group 17">
          <a:extLst xmlns:a="http://schemas.openxmlformats.org/drawingml/2006/main">
            <a:ext uri="{FF2B5EF4-FFF2-40B4-BE49-F238E27FC236}">
              <a16:creationId xmlns:a16="http://schemas.microsoft.com/office/drawing/2014/main" id="{B495B4C7-0777-8ACE-0090-7DC10D54CFCB}"/>
            </a:ext>
          </a:extLst>
        </cdr:cNvPr>
        <cdr:cNvGrpSpPr/>
      </cdr:nvGrpSpPr>
      <cdr:grpSpPr>
        <a:xfrm xmlns:a="http://schemas.openxmlformats.org/drawingml/2006/main" rot="16200000">
          <a:off x="5147547" y="1029668"/>
          <a:ext cx="1573948" cy="105196"/>
          <a:chOff x="3353844" y="93784"/>
          <a:chExt cx="2541109" cy="108000"/>
        </a:xfrm>
      </cdr:grpSpPr>
      <cdr:cxnSp macro="">
        <cdr:nvCxnSpPr>
          <cdr:cNvPr id="19" name="Straight Arrow Connector 18">
            <a:extLst xmlns:a="http://schemas.openxmlformats.org/drawingml/2006/main">
              <a:ext uri="{FF2B5EF4-FFF2-40B4-BE49-F238E27FC236}">
                <a16:creationId xmlns:a16="http://schemas.microsoft.com/office/drawing/2014/main" id="{D9D088E5-2FEC-343E-13B4-8EBF4D1F12FE}"/>
              </a:ext>
            </a:extLst>
          </cdr:cNvPr>
          <cdr:cNvCxnSpPr/>
        </cdr:nvCxnSpPr>
        <cdr:spPr>
          <a:xfrm xmlns:a="http://schemas.openxmlformats.org/drawingml/2006/main" flipH="1">
            <a:off x="3353844" y="142875"/>
            <a:ext cx="2536762"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0" name="Straight Connector 19">
            <a:extLst xmlns:a="http://schemas.openxmlformats.org/drawingml/2006/main">
              <a:ext uri="{FF2B5EF4-FFF2-40B4-BE49-F238E27FC236}">
                <a16:creationId xmlns:a16="http://schemas.microsoft.com/office/drawing/2014/main" id="{D1F702A0-9E11-029F-6FE8-BA498F0E5EAC}"/>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0.1129</cdr:x>
      <cdr:y>0.93808</cdr:y>
    </cdr:from>
    <cdr:to>
      <cdr:x>0.35917</cdr:x>
      <cdr:y>0.9648</cdr:y>
    </cdr:to>
    <cdr:grpSp>
      <cdr:nvGrpSpPr>
        <cdr:cNvPr id="21" name="Group 20">
          <a:extLst xmlns:a="http://schemas.openxmlformats.org/drawingml/2006/main">
            <a:ext uri="{FF2B5EF4-FFF2-40B4-BE49-F238E27FC236}">
              <a16:creationId xmlns:a16="http://schemas.microsoft.com/office/drawing/2014/main" id="{B8773E95-397F-E317-8DAA-9154383EB3F3}"/>
            </a:ext>
          </a:extLst>
        </cdr:cNvPr>
        <cdr:cNvGrpSpPr/>
      </cdr:nvGrpSpPr>
      <cdr:grpSpPr>
        <a:xfrm xmlns:a="http://schemas.openxmlformats.org/drawingml/2006/main" rot="10800000">
          <a:off x="702756" y="3791507"/>
          <a:ext cx="1532929" cy="107997"/>
          <a:chOff x="3353844" y="93784"/>
          <a:chExt cx="2541109" cy="108000"/>
        </a:xfrm>
      </cdr:grpSpPr>
      <cdr:cxnSp macro="">
        <cdr:nvCxnSpPr>
          <cdr:cNvPr id="22" name="Straight Arrow Connector 21">
            <a:extLst xmlns:a="http://schemas.openxmlformats.org/drawingml/2006/main">
              <a:ext uri="{FF2B5EF4-FFF2-40B4-BE49-F238E27FC236}">
                <a16:creationId xmlns:a16="http://schemas.microsoft.com/office/drawing/2014/main" id="{0CAB3724-5311-D778-0749-AFFD3A570AB0}"/>
              </a:ext>
            </a:extLst>
          </cdr:cNvPr>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3" name="Straight Connector 22">
            <a:extLst xmlns:a="http://schemas.openxmlformats.org/drawingml/2006/main">
              <a:ext uri="{FF2B5EF4-FFF2-40B4-BE49-F238E27FC236}">
                <a16:creationId xmlns:a16="http://schemas.microsoft.com/office/drawing/2014/main" id="{E054AB52-0640-1EC2-14F7-5813814E6568}"/>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0.03682</cdr:x>
      <cdr:y>0.46211</cdr:y>
    </cdr:from>
    <cdr:to>
      <cdr:x>0.05372</cdr:x>
      <cdr:y>0.85153</cdr:y>
    </cdr:to>
    <cdr:grpSp>
      <cdr:nvGrpSpPr>
        <cdr:cNvPr id="24" name="Group 23">
          <a:extLst xmlns:a="http://schemas.openxmlformats.org/drawingml/2006/main">
            <a:ext uri="{FF2B5EF4-FFF2-40B4-BE49-F238E27FC236}">
              <a16:creationId xmlns:a16="http://schemas.microsoft.com/office/drawing/2014/main" id="{33D4B1DA-20A4-33AA-28E4-5D64B120DE05}"/>
            </a:ext>
          </a:extLst>
        </cdr:cNvPr>
        <cdr:cNvGrpSpPr/>
      </cdr:nvGrpSpPr>
      <cdr:grpSpPr>
        <a:xfrm xmlns:a="http://schemas.openxmlformats.org/drawingml/2006/main" rot="5400000">
          <a:off x="-505187" y="2602120"/>
          <a:ext cx="1573948" cy="105196"/>
          <a:chOff x="3353844" y="93784"/>
          <a:chExt cx="2541109" cy="108000"/>
        </a:xfrm>
      </cdr:grpSpPr>
      <cdr:cxnSp macro="">
        <cdr:nvCxnSpPr>
          <cdr:cNvPr id="25" name="Straight Arrow Connector 24">
            <a:extLst xmlns:a="http://schemas.openxmlformats.org/drawingml/2006/main">
              <a:ext uri="{FF2B5EF4-FFF2-40B4-BE49-F238E27FC236}">
                <a16:creationId xmlns:a16="http://schemas.microsoft.com/office/drawing/2014/main" id="{FCEFCC84-8A2F-48EE-8CEE-F7EA20384760}"/>
              </a:ext>
            </a:extLst>
          </cdr:cNvPr>
          <cdr:cNvCxnSpPr/>
        </cdr:nvCxnSpPr>
        <cdr:spPr>
          <a:xfrm xmlns:a="http://schemas.openxmlformats.org/drawingml/2006/main" flipH="1">
            <a:off x="3353844" y="142875"/>
            <a:ext cx="2536761" cy="0"/>
          </a:xfrm>
          <a:prstGeom xmlns:a="http://schemas.openxmlformats.org/drawingml/2006/main" prst="straightConnector1">
            <a:avLst/>
          </a:prstGeom>
          <a:ln xmlns:a="http://schemas.openxmlformats.org/drawingml/2006/main">
            <a:solidFill>
              <a:sysClr val="windowText" lastClr="000000"/>
            </a:solidFill>
            <a:headEnd type="none" w="med" len="sm"/>
            <a:tailEnd type="arrow" w="med"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26" name="Straight Connector 25">
            <a:extLst xmlns:a="http://schemas.openxmlformats.org/drawingml/2006/main">
              <a:ext uri="{FF2B5EF4-FFF2-40B4-BE49-F238E27FC236}">
                <a16:creationId xmlns:a16="http://schemas.microsoft.com/office/drawing/2014/main" id="{82B2380A-85C9-5557-F14B-BB5FF825F804}"/>
              </a:ext>
            </a:extLst>
          </cdr:cNvPr>
          <cdr:cNvCxnSpPr/>
        </cdr:nvCxnSpPr>
        <cdr:spPr>
          <a:xfrm xmlns:a="http://schemas.openxmlformats.org/drawingml/2006/main">
            <a:off x="5894953" y="93784"/>
            <a:ext cx="0" cy="1080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dr:relSizeAnchor xmlns:cdr="http://schemas.openxmlformats.org/drawingml/2006/chartDrawing">
    <cdr:from>
      <cdr:x>0.21013</cdr:x>
      <cdr:y>0.91673</cdr:y>
    </cdr:from>
    <cdr:to>
      <cdr:x>0.25931</cdr:x>
      <cdr:y>0.98507</cdr:y>
    </cdr:to>
    <cdr:sp macro="" textlink="">
      <cdr:nvSpPr>
        <cdr:cNvPr id="27" name="TextBox 26"/>
        <cdr:cNvSpPr txBox="1"/>
      </cdr:nvSpPr>
      <cdr:spPr>
        <a:xfrm xmlns:a="http://schemas.openxmlformats.org/drawingml/2006/main">
          <a:off x="1343024" y="370522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1</a:t>
          </a:r>
          <a:endParaRPr lang="en-US" sz="1100" baseline="-25000"/>
        </a:p>
      </cdr:txBody>
    </cdr:sp>
  </cdr:relSizeAnchor>
  <cdr:relSizeAnchor xmlns:cdr="http://schemas.openxmlformats.org/drawingml/2006/chartDrawing">
    <cdr:from>
      <cdr:x>0.77943</cdr:x>
      <cdr:y>0</cdr:y>
    </cdr:from>
    <cdr:to>
      <cdr:x>0.82861</cdr:x>
      <cdr:y>0.06834</cdr:y>
    </cdr:to>
    <cdr:sp macro="" textlink="">
      <cdr:nvSpPr>
        <cdr:cNvPr id="28" name="TextBox 27"/>
        <cdr:cNvSpPr txBox="1"/>
      </cdr:nvSpPr>
      <cdr:spPr>
        <a:xfrm xmlns:a="http://schemas.openxmlformats.org/drawingml/2006/main">
          <a:off x="4981574" y="0"/>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L</a:t>
          </a:r>
          <a:r>
            <a:rPr lang="id-ID" sz="1100" baseline="-25000"/>
            <a:t>2</a:t>
          </a:r>
          <a:endParaRPr lang="en-US" sz="1100" baseline="-25000"/>
        </a:p>
      </cdr:txBody>
    </cdr:sp>
  </cdr:relSizeAnchor>
  <cdr:relSizeAnchor xmlns:cdr="http://schemas.openxmlformats.org/drawingml/2006/chartDrawing">
    <cdr:from>
      <cdr:x>0.02235</cdr:x>
      <cdr:y>0.61351</cdr:y>
    </cdr:from>
    <cdr:to>
      <cdr:x>0.07153</cdr:x>
      <cdr:y>0.68185</cdr:y>
    </cdr:to>
    <cdr:sp macro="" textlink="">
      <cdr:nvSpPr>
        <cdr:cNvPr id="30" name="TextBox 29"/>
        <cdr:cNvSpPr txBox="1"/>
      </cdr:nvSpPr>
      <cdr:spPr>
        <a:xfrm xmlns:a="http://schemas.openxmlformats.org/drawingml/2006/main">
          <a:off x="142874" y="24796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1</a:t>
          </a:r>
          <a:endParaRPr lang="en-US" sz="1100" baseline="-25000"/>
        </a:p>
      </cdr:txBody>
    </cdr:sp>
  </cdr:relSizeAnchor>
  <cdr:relSizeAnchor xmlns:cdr="http://schemas.openxmlformats.org/drawingml/2006/chartDrawing">
    <cdr:from>
      <cdr:x>0.93294</cdr:x>
      <cdr:y>0.19874</cdr:y>
    </cdr:from>
    <cdr:to>
      <cdr:x>0.98212</cdr:x>
      <cdr:y>0.26709</cdr:y>
    </cdr:to>
    <cdr:sp macro="" textlink="">
      <cdr:nvSpPr>
        <cdr:cNvPr id="31" name="TextBox 30"/>
        <cdr:cNvSpPr txBox="1"/>
      </cdr:nvSpPr>
      <cdr:spPr>
        <a:xfrm xmlns:a="http://schemas.openxmlformats.org/drawingml/2006/main">
          <a:off x="5962649" y="803274"/>
          <a:ext cx="314325" cy="27622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id-ID" sz="1100"/>
            <a:t>K</a:t>
          </a:r>
          <a:r>
            <a:rPr lang="id-ID" sz="1100" baseline="-25000"/>
            <a:t>2</a:t>
          </a:r>
          <a:endParaRPr lang="en-US" sz="1100" baseline="-25000"/>
        </a:p>
      </cdr:txBody>
    </cdr:sp>
  </cdr:relSizeAnchor>
</c:userShapes>
</file>

<file path=xl/drawings/drawing4.xml><?xml version="1.0" encoding="utf-8"?>
<c:userShapes xmlns:c="http://schemas.openxmlformats.org/drawingml/2006/chart">
  <cdr:relSizeAnchor xmlns:cdr="http://schemas.openxmlformats.org/drawingml/2006/chartDrawing">
    <cdr:from>
      <cdr:x>0.43833</cdr:x>
      <cdr:y>0.92169</cdr:y>
    </cdr:from>
    <cdr:to>
      <cdr:x>0.70295</cdr:x>
      <cdr:y>0.98198</cdr:y>
    </cdr:to>
    <cdr:sp macro="" textlink="">
      <cdr:nvSpPr>
        <cdr:cNvPr id="3" name="TextBox 4"/>
        <cdr:cNvSpPr txBox="1"/>
      </cdr:nvSpPr>
      <cdr:spPr>
        <a:xfrm xmlns:a="http://schemas.openxmlformats.org/drawingml/2006/main">
          <a:off x="2262926" y="422275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1 (X</a:t>
          </a:r>
          <a:r>
            <a:rPr lang="id-ID" sz="1100" baseline="-25000"/>
            <a:t>1</a:t>
          </a:r>
          <a:r>
            <a:rPr lang="id-ID" sz="1100" baseline="0"/>
            <a:t>)</a:t>
          </a:r>
          <a:endParaRPr lang="en-US" sz="1100" baseline="0"/>
        </a:p>
      </cdr:txBody>
    </cdr:sp>
  </cdr:relSizeAnchor>
  <cdr:relSizeAnchor xmlns:cdr="http://schemas.openxmlformats.org/drawingml/2006/chartDrawing">
    <cdr:from>
      <cdr:x>0.05496</cdr:x>
      <cdr:y>0.29686</cdr:y>
    </cdr:from>
    <cdr:to>
      <cdr:x>0.10847</cdr:x>
      <cdr:y>0.59503</cdr:y>
    </cdr:to>
    <cdr:sp macro="" textlink="">
      <cdr:nvSpPr>
        <cdr:cNvPr id="13" name="TextBox 4"/>
        <cdr:cNvSpPr txBox="1"/>
      </cdr:nvSpPr>
      <cdr:spPr>
        <a:xfrm xmlns:a="http://schemas.openxmlformats.org/drawingml/2006/main" rot="16200000">
          <a:off x="-261199" y="1905000"/>
          <a:ext cx="1366099" cy="276225"/>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id-ID" sz="1100"/>
            <a:t>Output 2 (X</a:t>
          </a:r>
          <a:r>
            <a:rPr lang="id-ID" sz="1100" baseline="-25000"/>
            <a:t>2</a:t>
          </a:r>
          <a:r>
            <a:rPr lang="id-ID" sz="1100" baseline="0"/>
            <a:t>)</a:t>
          </a:r>
          <a:endParaRPr lang="en-US" sz="1100" baseline="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O15" sqref="O15"/>
    </sheetView>
  </sheetViews>
  <sheetFormatPr defaultColWidth="9.140625" defaultRowHeight="15" x14ac:dyDescent="0.25"/>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58"/>
  <sheetViews>
    <sheetView tabSelected="1" topLeftCell="AD1" zoomScale="80" zoomScaleNormal="80" workbookViewId="0">
      <selection activeCell="AT39" sqref="AT39"/>
    </sheetView>
  </sheetViews>
  <sheetFormatPr defaultColWidth="9.140625" defaultRowHeight="15" x14ac:dyDescent="0.25"/>
  <cols>
    <col min="1" max="1" width="9.140625" style="1" hidden="1" customWidth="1"/>
    <col min="2" max="3" width="8.85546875" style="2" hidden="1" customWidth="1"/>
    <col min="4" max="4" width="12.5703125" style="2" hidden="1" customWidth="1"/>
    <col min="5" max="5" width="7.7109375" style="2" hidden="1" customWidth="1"/>
    <col min="6" max="6" width="12.5703125" style="2" hidden="1" customWidth="1"/>
    <col min="7" max="7" width="7.7109375" style="2" hidden="1" customWidth="1"/>
    <col min="8" max="8" width="6.28515625" style="2" hidden="1" customWidth="1"/>
    <col min="9" max="12" width="6.5703125" style="2" hidden="1" customWidth="1"/>
    <col min="13" max="13" width="8.42578125" style="2" hidden="1" customWidth="1"/>
    <col min="14" max="16" width="7.7109375" style="2" hidden="1" customWidth="1"/>
    <col min="17" max="29" width="9.140625" style="1" hidden="1" customWidth="1"/>
    <col min="30" max="39" width="9.140625" style="1"/>
    <col min="40" max="40" width="10" style="1" customWidth="1"/>
    <col min="41" max="47" width="8.140625" style="1" customWidth="1"/>
    <col min="48" max="49" width="10" style="1" customWidth="1"/>
    <col min="50" max="50" width="16.28515625" style="1" customWidth="1"/>
    <col min="51" max="16384" width="9.140625" style="1"/>
  </cols>
  <sheetData>
    <row r="1" spans="1:52" x14ac:dyDescent="0.25">
      <c r="A1" s="1" t="s">
        <v>0</v>
      </c>
      <c r="B1" s="2" t="s">
        <v>1</v>
      </c>
      <c r="C1" s="2">
        <f>AO5</f>
        <v>100</v>
      </c>
      <c r="D1" s="2" t="s">
        <v>2</v>
      </c>
      <c r="E1" s="2">
        <f>AP5</f>
        <v>100</v>
      </c>
      <c r="F1" s="2" t="s">
        <v>3</v>
      </c>
      <c r="G1" s="2">
        <f>AS5</f>
        <v>0.6</v>
      </c>
      <c r="H1" s="2" t="s">
        <v>4</v>
      </c>
      <c r="I1" s="2">
        <f>AT5</f>
        <v>0.3</v>
      </c>
      <c r="M1" s="2" t="s">
        <v>5</v>
      </c>
      <c r="N1" s="2">
        <f>AU5</f>
        <v>0.3</v>
      </c>
      <c r="O1" s="2" t="s">
        <v>6</v>
      </c>
      <c r="P1" s="2">
        <f>AQ5</f>
        <v>1</v>
      </c>
      <c r="Q1" s="1" t="s">
        <v>7</v>
      </c>
      <c r="R1" s="1">
        <f>AR5</f>
        <v>1</v>
      </c>
    </row>
    <row r="2" spans="1:52" x14ac:dyDescent="0.25">
      <c r="B2" s="2" t="s">
        <v>8</v>
      </c>
      <c r="C2" s="2">
        <f>AO6</f>
        <v>100</v>
      </c>
      <c r="D2" s="2" t="s">
        <v>9</v>
      </c>
      <c r="E2" s="2">
        <f>AP6</f>
        <v>100</v>
      </c>
      <c r="F2" s="2" t="s">
        <v>10</v>
      </c>
      <c r="G2" s="2">
        <f>AS6</f>
        <v>0.6</v>
      </c>
      <c r="H2" s="2" t="s">
        <v>11</v>
      </c>
      <c r="I2" s="2">
        <f>AT6</f>
        <v>0.3</v>
      </c>
      <c r="M2" s="2" t="s">
        <v>12</v>
      </c>
      <c r="N2" s="2">
        <f>AU6</f>
        <v>0.3</v>
      </c>
      <c r="O2" s="2" t="s">
        <v>13</v>
      </c>
      <c r="P2" s="2">
        <f>AQ6</f>
        <v>1</v>
      </c>
      <c r="Q2" s="1" t="s">
        <v>14</v>
      </c>
      <c r="R2" s="1">
        <f>AR6</f>
        <v>1</v>
      </c>
    </row>
    <row r="4" spans="1:52" x14ac:dyDescent="0.25">
      <c r="B4" s="2" t="s">
        <v>15</v>
      </c>
      <c r="C4" s="2">
        <f>(alpha0*gamma0*SCapital0)/(beta0*(1-gamma0)+alpha0*gamma0)</f>
        <v>46.153846153846153</v>
      </c>
      <c r="D4" s="2" t="s">
        <v>17</v>
      </c>
      <c r="E4" s="2">
        <f>((1-alpha0)*gamma0*SLab0)/((1-beta0)*(1-gamma0)+(1-alpha0)*gamma0)</f>
        <v>19.672131147540988</v>
      </c>
      <c r="F4" s="2" t="s">
        <v>19</v>
      </c>
      <c r="G4" s="2">
        <f>TechA0*(K1e0^alpha0)*(L1e0^(1-alpha0))</f>
        <v>32.814463130258986</v>
      </c>
      <c r="H4" s="2" t="s">
        <v>21</v>
      </c>
      <c r="I4" s="2">
        <f>((1-alpha0)/alpha0)*(K1e0/L1e0)</f>
        <v>1.5641025641025641</v>
      </c>
      <c r="N4" s="2" t="s">
        <v>24</v>
      </c>
      <c r="O4" s="2">
        <f>(alpha1*gamma1*SCapital1)/(beta1*(1-gamma1)+alpha1*gamma1)</f>
        <v>46.153846153846153</v>
      </c>
      <c r="P4" s="2" t="s">
        <v>26</v>
      </c>
      <c r="Q4" s="1">
        <f>((1-alpha1)*gamma1*SLab1)/((1-beta1)*(1-gamma1)+(1-alpha1)*gamma1)</f>
        <v>19.672131147540988</v>
      </c>
      <c r="R4" s="1" t="s">
        <v>28</v>
      </c>
      <c r="S4" s="1">
        <f>TechA1*(K1e1^alpha1)*(L1e1^(1-alpha1))</f>
        <v>32.814463130258986</v>
      </c>
      <c r="T4" s="1" t="s">
        <v>22</v>
      </c>
      <c r="U4" s="1">
        <f>((1-alpha1)/alpha1)*(K1e1/L1e1)</f>
        <v>1.5641025641025641</v>
      </c>
      <c r="V4" s="1" t="s">
        <v>42</v>
      </c>
      <c r="W4" s="1">
        <f>(X1e0^gamma0)*(X2e0^(1-gamma0))</f>
        <v>56.460736040983981</v>
      </c>
      <c r="Y4" s="1" t="s">
        <v>50</v>
      </c>
      <c r="Z4" s="1">
        <f>(gamma0/(1-gamma0))*(X2e0/X1e0)</f>
        <v>0.93048781280125048</v>
      </c>
      <c r="AA4" s="1" t="s">
        <v>52</v>
      </c>
      <c r="AB4" s="1">
        <f>X2e0+mrsc0*X1e0</f>
        <v>101.77819342107318</v>
      </c>
      <c r="AE4" s="3" t="s">
        <v>55</v>
      </c>
    </row>
    <row r="5" spans="1:52" x14ac:dyDescent="0.25">
      <c r="B5" s="2" t="s">
        <v>16</v>
      </c>
      <c r="C5" s="2">
        <f>SCapital0-K1e0</f>
        <v>53.846153846153847</v>
      </c>
      <c r="D5" s="2" t="s">
        <v>18</v>
      </c>
      <c r="E5" s="2">
        <f>SLab0-L1e0</f>
        <v>80.327868852459005</v>
      </c>
      <c r="F5" s="2" t="s">
        <v>20</v>
      </c>
      <c r="G5" s="2">
        <f>TechB0*(K2e0^beta0)*(L2e0^(1-beta0))</f>
        <v>71.244735394751231</v>
      </c>
      <c r="H5" s="2" t="s">
        <v>23</v>
      </c>
      <c r="I5" s="2">
        <f>K1e0+mrt0*L1e0</f>
        <v>76.923076923076934</v>
      </c>
      <c r="N5" s="2" t="s">
        <v>25</v>
      </c>
      <c r="O5" s="2">
        <f>SCapital1-K1e1</f>
        <v>53.846153846153847</v>
      </c>
      <c r="P5" s="2" t="s">
        <v>27</v>
      </c>
      <c r="Q5" s="1">
        <f>SLab1-L1e1</f>
        <v>80.327868852459005</v>
      </c>
      <c r="R5" s="1" t="s">
        <v>29</v>
      </c>
      <c r="S5" s="1">
        <f>TechB1*(K2e1^beta1)*(L2e1^(1-beta1))</f>
        <v>71.244735394751231</v>
      </c>
      <c r="T5" s="1" t="s">
        <v>30</v>
      </c>
      <c r="U5" s="1">
        <f>K1e1+mrts1*L1e1</f>
        <v>76.923076923076934</v>
      </c>
      <c r="V5" s="1" t="s">
        <v>43</v>
      </c>
      <c r="W5" s="1">
        <f>(X1e1^gamma1)*(X2e1^(1-gamma1))</f>
        <v>56.460736040983981</v>
      </c>
      <c r="Y5" s="1" t="s">
        <v>51</v>
      </c>
      <c r="Z5" s="1">
        <f>(gamma1/(1-gamma1))*(X2e1/X1e1)</f>
        <v>0.93048781280125048</v>
      </c>
      <c r="AA5" s="1" t="s">
        <v>53</v>
      </c>
      <c r="AB5" s="1">
        <f>X2e1+mrsc1*X1e1</f>
        <v>101.77819342107318</v>
      </c>
      <c r="AE5" s="1" t="s">
        <v>56</v>
      </c>
      <c r="AN5" s="1" t="s">
        <v>59</v>
      </c>
      <c r="AO5" s="1">
        <v>100</v>
      </c>
      <c r="AP5" s="1">
        <v>100</v>
      </c>
      <c r="AQ5" s="1">
        <v>1</v>
      </c>
      <c r="AR5" s="1">
        <v>1</v>
      </c>
      <c r="AS5" s="1">
        <v>0.6</v>
      </c>
      <c r="AT5" s="1">
        <v>0.3</v>
      </c>
      <c r="AU5" s="1">
        <v>0.3</v>
      </c>
    </row>
    <row r="6" spans="1:52" x14ac:dyDescent="0.25">
      <c r="AE6" s="1" t="s">
        <v>57</v>
      </c>
      <c r="AN6" s="1" t="s">
        <v>60</v>
      </c>
      <c r="AO6" s="7">
        <v>100</v>
      </c>
      <c r="AP6" s="7">
        <f>1*AP5</f>
        <v>100</v>
      </c>
      <c r="AQ6" s="1">
        <v>1</v>
      </c>
      <c r="AR6" s="1">
        <v>1</v>
      </c>
      <c r="AS6" s="1">
        <v>0.6</v>
      </c>
      <c r="AT6" s="1">
        <v>0.3</v>
      </c>
      <c r="AU6" s="1">
        <f>AU5</f>
        <v>0.3</v>
      </c>
    </row>
    <row r="7" spans="1:52" x14ac:dyDescent="0.25">
      <c r="A7" s="1" t="s">
        <v>46</v>
      </c>
      <c r="B7" s="2" t="s">
        <v>31</v>
      </c>
      <c r="C7" s="2" t="s">
        <v>32</v>
      </c>
      <c r="D7" s="2" t="s">
        <v>48</v>
      </c>
      <c r="E7" s="2" t="s">
        <v>33</v>
      </c>
      <c r="F7" s="2" t="s">
        <v>34</v>
      </c>
      <c r="G7" s="2" t="s">
        <v>35</v>
      </c>
      <c r="H7" s="2" t="s">
        <v>36</v>
      </c>
      <c r="I7" s="2" t="s">
        <v>37</v>
      </c>
      <c r="J7" s="2" t="s">
        <v>47</v>
      </c>
      <c r="L7" s="2" t="s">
        <v>9</v>
      </c>
      <c r="M7" s="2" t="s">
        <v>38</v>
      </c>
      <c r="N7" s="2" t="s">
        <v>39</v>
      </c>
      <c r="O7" s="2" t="s">
        <v>40</v>
      </c>
      <c r="P7" s="2" t="s">
        <v>41</v>
      </c>
      <c r="Q7" s="2" t="s">
        <v>44</v>
      </c>
      <c r="R7" s="2" t="s">
        <v>45</v>
      </c>
      <c r="S7" s="2" t="s">
        <v>49</v>
      </c>
      <c r="U7" s="2" t="s">
        <v>54</v>
      </c>
      <c r="V7" s="2"/>
      <c r="W7" s="2"/>
      <c r="AE7" s="1" t="s">
        <v>58</v>
      </c>
      <c r="AO7" s="6"/>
      <c r="AP7" s="4"/>
      <c r="AQ7" s="8">
        <v>50</v>
      </c>
      <c r="AR7" s="8">
        <v>50</v>
      </c>
      <c r="AS7" s="8">
        <v>70</v>
      </c>
      <c r="AT7" s="8">
        <v>20</v>
      </c>
      <c r="AU7" s="8">
        <v>70</v>
      </c>
      <c r="AV7" s="6"/>
    </row>
    <row r="8" spans="1:52" x14ac:dyDescent="0.25">
      <c r="A8" s="1">
        <v>0</v>
      </c>
      <c r="B8" s="2">
        <f t="shared" ref="B8:B39" si="0">(alpha0*(1-beta0)*$A8*SCapital0)/(alpha0*(1-beta0)*$A8+beta0*(1-alpha0)*MAX(SLab0-$A8,0))</f>
        <v>0</v>
      </c>
      <c r="C8" s="2">
        <f t="shared" ref="C8:C39" si="1">(alpha1*(1-beta1)*$A8*SCapital1)/(alpha1*(1-beta1)*$A8+beta1*(1-alpha1)*MAX(SLab1-$A8,0))</f>
        <v>0</v>
      </c>
      <c r="H8" s="2">
        <f t="shared" ref="H8:H39" si="2">interc0-mrt0*A8</f>
        <v>76.923076923076934</v>
      </c>
      <c r="I8" s="2">
        <f t="shared" ref="I8:I39" si="3">interc1-mrts1*A8</f>
        <v>76.923076923076934</v>
      </c>
      <c r="J8" s="2">
        <f>SLab0</f>
        <v>100</v>
      </c>
      <c r="K8" s="2">
        <v>0</v>
      </c>
      <c r="M8" s="2">
        <f t="shared" ref="M8:M39" si="4">TechA0*(B8^alpha0)*(A8^(1-alpha0))</f>
        <v>0</v>
      </c>
      <c r="N8" s="2">
        <f t="shared" ref="N8:N39" si="5">TechB0*(MAX(SCapital0-B8,0)^beta0)*(MAX(SLab0-A8,0)^(1-beta0))</f>
        <v>100</v>
      </c>
      <c r="O8" s="2">
        <f t="shared" ref="O8:O39" si="6">TechA1*(C8^alpha1)*(A8^(1-alpha1))</f>
        <v>0</v>
      </c>
      <c r="P8" s="2">
        <f t="shared" ref="P8:P39" si="7">TechB1*(MAX(SCapital1-C8,0)^beta1)*(MAX(SLab1-A8,0)^(1-beta1))</f>
        <v>100</v>
      </c>
      <c r="AU8" s="5" t="s">
        <v>61</v>
      </c>
    </row>
    <row r="9" spans="1:52" x14ac:dyDescent="0.25">
      <c r="A9" s="1">
        <v>1</v>
      </c>
      <c r="B9" s="2">
        <f t="shared" si="0"/>
        <v>3.4146341463414638</v>
      </c>
      <c r="C9" s="2">
        <f t="shared" si="1"/>
        <v>3.4146341463414638</v>
      </c>
      <c r="D9" s="2">
        <f>(X1e0/(TechA0*($A9^(1-alpha0))))^(1/alpha0)</f>
        <v>336.33766549296752</v>
      </c>
      <c r="E9" s="2">
        <f t="shared" ref="E9:E40" si="8">SCapital0-(X2e0/(TechB0*(MAX(SLab0-$A9,0)^(1-beta0))))^(1/beta0)</f>
        <v>66.935613262975664</v>
      </c>
      <c r="F9" s="2">
        <f t="shared" ref="F9:F40" si="9">(X1e1/(TechA1*($A9^(1-alpha1))))^(1/alpha1)</f>
        <v>336.33766549296752</v>
      </c>
      <c r="G9" s="2">
        <f t="shared" ref="G9:G40" si="10">SCapital1-(X2e1/(TechB1*((SLab1-$A9)^(1-beta1))))^(1/beta1)</f>
        <v>66.935613262975664</v>
      </c>
      <c r="H9" s="2">
        <f t="shared" si="2"/>
        <v>75.358974358974365</v>
      </c>
      <c r="I9" s="2">
        <f t="shared" si="3"/>
        <v>75.358974358974365</v>
      </c>
      <c r="J9" s="2">
        <f>J8</f>
        <v>100</v>
      </c>
      <c r="K9" s="2">
        <v>100</v>
      </c>
      <c r="M9" s="2">
        <f t="shared" si="4"/>
        <v>2.0893274366524026</v>
      </c>
      <c r="N9" s="2">
        <f t="shared" si="5"/>
        <v>98.269339036546242</v>
      </c>
      <c r="O9" s="2">
        <f t="shared" si="6"/>
        <v>2.0893274366524026</v>
      </c>
      <c r="P9" s="2">
        <f t="shared" si="7"/>
        <v>98.269339036546242</v>
      </c>
      <c r="Q9" s="1">
        <f t="shared" ref="Q9:Q40" si="11">(util0/(M9^gamma0))^(1/(1-gamma0))</f>
        <v>231.92598227183612</v>
      </c>
      <c r="R9" s="1">
        <f t="shared" ref="R9:R40" si="12">(util1/(O9^gamma1))^(1/(1-gamma1))</f>
        <v>231.92598227183612</v>
      </c>
      <c r="S9" s="1">
        <v>0</v>
      </c>
      <c r="T9" s="1">
        <v>0</v>
      </c>
      <c r="U9" s="1">
        <f>X1e0</f>
        <v>32.814463130258986</v>
      </c>
      <c r="V9" s="1">
        <f>X2e0</f>
        <v>71.244735394751231</v>
      </c>
    </row>
    <row r="10" spans="1:52" x14ac:dyDescent="0.25">
      <c r="A10" s="1">
        <f>IF(A9+1&lt;=SLab0,A9+1,0)</f>
        <v>2</v>
      </c>
      <c r="B10" s="2">
        <f t="shared" si="0"/>
        <v>6.666666666666667</v>
      </c>
      <c r="C10" s="2">
        <f t="shared" si="1"/>
        <v>6.666666666666667</v>
      </c>
      <c r="D10" s="2">
        <f t="shared" ref="D10:D40" si="13">(X1e0/(TechA0*($A10^(1-alpha0))))^(1/alpha0)</f>
        <v>211.87945231354527</v>
      </c>
      <c r="E10" s="2">
        <f t="shared" si="8"/>
        <v>66.143004474263833</v>
      </c>
      <c r="F10" s="2">
        <f t="shared" si="9"/>
        <v>211.87945231354527</v>
      </c>
      <c r="G10" s="2">
        <f t="shared" si="10"/>
        <v>66.143004474263833</v>
      </c>
      <c r="H10" s="2">
        <f t="shared" si="2"/>
        <v>73.79487179487181</v>
      </c>
      <c r="I10" s="2">
        <f t="shared" si="3"/>
        <v>73.79487179487181</v>
      </c>
      <c r="M10" s="2">
        <f t="shared" si="4"/>
        <v>4.1186723371160783</v>
      </c>
      <c r="N10" s="2">
        <f t="shared" si="5"/>
        <v>96.576016058113808</v>
      </c>
      <c r="O10" s="2">
        <f t="shared" si="6"/>
        <v>4.1186723371160783</v>
      </c>
      <c r="P10" s="2">
        <f t="shared" si="7"/>
        <v>96.576016058113808</v>
      </c>
      <c r="Q10" s="1">
        <f t="shared" si="11"/>
        <v>173.39144298422326</v>
      </c>
      <c r="R10" s="1">
        <f t="shared" si="12"/>
        <v>173.39144298422326</v>
      </c>
      <c r="S10" s="1">
        <v>100</v>
      </c>
      <c r="T10" s="1">
        <v>0</v>
      </c>
      <c r="U10" s="1">
        <v>0</v>
      </c>
      <c r="V10" s="1">
        <f>ap1p20</f>
        <v>101.77819342107318</v>
      </c>
      <c r="AW10" s="1" t="str">
        <f t="shared" ref="AW10:AW19" si="14">T17</f>
        <v>Percent change</v>
      </c>
      <c r="AY10" s="1" t="s">
        <v>72</v>
      </c>
      <c r="AZ10" s="1" t="s">
        <v>73</v>
      </c>
    </row>
    <row r="11" spans="1:52" x14ac:dyDescent="0.25">
      <c r="A11" s="1">
        <v>3</v>
      </c>
      <c r="B11" s="2">
        <f t="shared" si="0"/>
        <v>9.7674418604651176</v>
      </c>
      <c r="C11" s="2">
        <f t="shared" si="1"/>
        <v>9.7674418604651176</v>
      </c>
      <c r="D11" s="2">
        <f t="shared" si="13"/>
        <v>161.69428451180974</v>
      </c>
      <c r="E11" s="2">
        <f t="shared" si="8"/>
        <v>65.322971174627156</v>
      </c>
      <c r="F11" s="2">
        <f t="shared" si="9"/>
        <v>161.69428451180974</v>
      </c>
      <c r="G11" s="2">
        <f t="shared" si="10"/>
        <v>65.322971174627156</v>
      </c>
      <c r="H11" s="2">
        <f t="shared" si="2"/>
        <v>72.230769230769241</v>
      </c>
      <c r="I11" s="2">
        <f t="shared" si="3"/>
        <v>72.230769230769241</v>
      </c>
      <c r="J11" s="2">
        <f>SLab1</f>
        <v>100</v>
      </c>
      <c r="K11" s="2">
        <v>0</v>
      </c>
      <c r="M11" s="2">
        <f t="shared" si="4"/>
        <v>6.0913983702936552</v>
      </c>
      <c r="N11" s="2">
        <f t="shared" si="5"/>
        <v>94.918134694334725</v>
      </c>
      <c r="O11" s="2">
        <f t="shared" si="6"/>
        <v>6.0913983702936552</v>
      </c>
      <c r="P11" s="2">
        <f t="shared" si="7"/>
        <v>94.918134694334725</v>
      </c>
      <c r="Q11" s="1">
        <f t="shared" si="11"/>
        <v>146.61815958321435</v>
      </c>
      <c r="R11" s="1">
        <f t="shared" si="12"/>
        <v>146.61815958321435</v>
      </c>
      <c r="U11" s="1">
        <f>ap1p20/mrsc0</f>
        <v>109.38154376752993</v>
      </c>
      <c r="V11" s="1">
        <v>0</v>
      </c>
      <c r="AW11" s="1" t="str">
        <f t="shared" si="14"/>
        <v>X1</v>
      </c>
      <c r="AX11" s="9">
        <f t="shared" ref="AX11:AX19" si="15">U18</f>
        <v>0</v>
      </c>
      <c r="AY11" s="9">
        <f>X1e0</f>
        <v>32.814463130258986</v>
      </c>
      <c r="AZ11" s="9">
        <f>X1e1</f>
        <v>32.814463130258986</v>
      </c>
    </row>
    <row r="12" spans="1:52" x14ac:dyDescent="0.25">
      <c r="A12" s="1">
        <v>4</v>
      </c>
      <c r="B12" s="2">
        <f t="shared" si="0"/>
        <v>12.727272727272728</v>
      </c>
      <c r="C12" s="2">
        <f t="shared" si="1"/>
        <v>12.727272727272728</v>
      </c>
      <c r="D12" s="2">
        <f t="shared" si="13"/>
        <v>133.4756910050163</v>
      </c>
      <c r="E12" s="2">
        <f t="shared" si="8"/>
        <v>64.474266874862664</v>
      </c>
      <c r="F12" s="2">
        <f t="shared" si="9"/>
        <v>133.4756910050163</v>
      </c>
      <c r="G12" s="2">
        <f t="shared" si="10"/>
        <v>64.474266874862664</v>
      </c>
      <c r="H12" s="2">
        <f t="shared" si="2"/>
        <v>70.666666666666671</v>
      </c>
      <c r="I12" s="2">
        <f t="shared" si="3"/>
        <v>70.666666666666671</v>
      </c>
      <c r="J12" s="2">
        <f>J11</f>
        <v>100</v>
      </c>
      <c r="K12" s="2">
        <v>100</v>
      </c>
      <c r="M12" s="2">
        <f t="shared" si="4"/>
        <v>8.0106029614596803</v>
      </c>
      <c r="N12" s="2">
        <f t="shared" si="5"/>
        <v>93.293938465425398</v>
      </c>
      <c r="O12" s="2">
        <f t="shared" si="6"/>
        <v>8.0106029614596803</v>
      </c>
      <c r="P12" s="2">
        <f t="shared" si="7"/>
        <v>93.293938465425398</v>
      </c>
      <c r="Q12" s="1">
        <f t="shared" si="11"/>
        <v>130.37969537604889</v>
      </c>
      <c r="R12" s="1">
        <f t="shared" si="12"/>
        <v>130.37969537604889</v>
      </c>
      <c r="S12" s="1">
        <v>0</v>
      </c>
      <c r="T12" s="1">
        <v>100</v>
      </c>
      <c r="U12" s="1">
        <f>X1e1</f>
        <v>32.814463130258986</v>
      </c>
      <c r="V12" s="1">
        <f>X2e1</f>
        <v>71.244735394751231</v>
      </c>
      <c r="AW12" s="1" t="str">
        <f t="shared" si="14"/>
        <v>K1</v>
      </c>
      <c r="AX12" s="9">
        <f t="shared" si="15"/>
        <v>0</v>
      </c>
      <c r="AY12" s="9">
        <f>K1e0</f>
        <v>46.153846153846153</v>
      </c>
      <c r="AZ12" s="9">
        <f>K1e1</f>
        <v>46.153846153846153</v>
      </c>
    </row>
    <row r="13" spans="1:52" x14ac:dyDescent="0.25">
      <c r="A13" s="1">
        <v>5</v>
      </c>
      <c r="B13" s="2">
        <f t="shared" si="0"/>
        <v>15.555555555555555</v>
      </c>
      <c r="C13" s="2">
        <f t="shared" si="1"/>
        <v>15.555555555555555</v>
      </c>
      <c r="D13" s="2">
        <f t="shared" si="13"/>
        <v>115.0258635908735</v>
      </c>
      <c r="E13" s="2">
        <f t="shared" si="8"/>
        <v>63.595574618299572</v>
      </c>
      <c r="F13" s="2">
        <f t="shared" si="9"/>
        <v>115.0258635908735</v>
      </c>
      <c r="G13" s="2">
        <f t="shared" si="10"/>
        <v>63.595574618299572</v>
      </c>
      <c r="H13" s="2">
        <f t="shared" si="2"/>
        <v>69.102564102564116</v>
      </c>
      <c r="I13" s="2">
        <f t="shared" si="3"/>
        <v>69.102564102564116</v>
      </c>
      <c r="M13" s="2">
        <f t="shared" si="4"/>
        <v>9.8791440376124839</v>
      </c>
      <c r="N13" s="2">
        <f t="shared" si="5"/>
        <v>91.701797488115389</v>
      </c>
      <c r="O13" s="2">
        <f t="shared" si="6"/>
        <v>9.8791440376124839</v>
      </c>
      <c r="P13" s="2">
        <f t="shared" si="7"/>
        <v>91.701797488115389</v>
      </c>
      <c r="Q13" s="1">
        <f t="shared" si="11"/>
        <v>119.1754421126487</v>
      </c>
      <c r="R13" s="1">
        <f t="shared" si="12"/>
        <v>119.1754421126487</v>
      </c>
      <c r="S13" s="1">
        <v>0</v>
      </c>
      <c r="T13" s="1">
        <v>0</v>
      </c>
      <c r="U13" s="1">
        <v>0</v>
      </c>
      <c r="V13" s="1">
        <f>ap1p21</f>
        <v>101.77819342107318</v>
      </c>
      <c r="AW13" s="1" t="str">
        <f t="shared" si="14"/>
        <v>L1</v>
      </c>
      <c r="AX13" s="9">
        <f t="shared" si="15"/>
        <v>0</v>
      </c>
      <c r="AY13" s="9">
        <f>L1e0</f>
        <v>19.672131147540988</v>
      </c>
      <c r="AZ13" s="9">
        <f>L1e1</f>
        <v>19.672131147540988</v>
      </c>
    </row>
    <row r="14" spans="1:52" x14ac:dyDescent="0.25">
      <c r="A14" s="1">
        <v>6</v>
      </c>
      <c r="B14" s="2">
        <f t="shared" si="0"/>
        <v>18.260869565217394</v>
      </c>
      <c r="C14" s="2">
        <f t="shared" si="1"/>
        <v>18.260869565217394</v>
      </c>
      <c r="D14" s="2">
        <f t="shared" si="13"/>
        <v>101.86101635205988</v>
      </c>
      <c r="E14" s="2">
        <f t="shared" si="8"/>
        <v>62.685502199511049</v>
      </c>
      <c r="F14" s="2">
        <f t="shared" si="9"/>
        <v>101.86101635205988</v>
      </c>
      <c r="G14" s="2">
        <f t="shared" si="10"/>
        <v>62.685502199511049</v>
      </c>
      <c r="H14" s="2">
        <f t="shared" si="2"/>
        <v>67.538461538461547</v>
      </c>
      <c r="I14" s="2">
        <f t="shared" si="3"/>
        <v>67.538461538461547</v>
      </c>
      <c r="J14" s="2">
        <v>0</v>
      </c>
      <c r="K14" s="2">
        <f>SCapital0</f>
        <v>100</v>
      </c>
      <c r="M14" s="2">
        <f t="shared" si="4"/>
        <v>11.699663549066369</v>
      </c>
      <c r="N14" s="2">
        <f t="shared" si="5"/>
        <v>90.140196712281764</v>
      </c>
      <c r="O14" s="2">
        <f t="shared" si="6"/>
        <v>11.699663549066369</v>
      </c>
      <c r="P14" s="2">
        <f t="shared" si="7"/>
        <v>90.140196712281764</v>
      </c>
      <c r="Q14" s="1">
        <f t="shared" si="11"/>
        <v>110.84253822981601</v>
      </c>
      <c r="R14" s="1">
        <f t="shared" si="12"/>
        <v>110.84253822981601</v>
      </c>
      <c r="U14" s="1">
        <f>ap1p21/mrsc1</f>
        <v>109.38154376752993</v>
      </c>
      <c r="V14" s="1">
        <v>0</v>
      </c>
      <c r="AW14" s="1" t="str">
        <f t="shared" si="14"/>
        <v>X2</v>
      </c>
      <c r="AX14" s="9">
        <f t="shared" si="15"/>
        <v>0</v>
      </c>
      <c r="AY14" s="9">
        <f>X2e0</f>
        <v>71.244735394751231</v>
      </c>
      <c r="AZ14" s="9">
        <f>X2e1</f>
        <v>71.244735394751231</v>
      </c>
    </row>
    <row r="15" spans="1:52" x14ac:dyDescent="0.25">
      <c r="A15" s="1">
        <v>7</v>
      </c>
      <c r="B15" s="2">
        <f t="shared" si="0"/>
        <v>20.851063829787236</v>
      </c>
      <c r="C15" s="2">
        <f t="shared" si="1"/>
        <v>20.851063829787236</v>
      </c>
      <c r="D15" s="2">
        <f t="shared" si="13"/>
        <v>91.912972608909527</v>
      </c>
      <c r="E15" s="2">
        <f t="shared" si="8"/>
        <v>61.742577003324215</v>
      </c>
      <c r="F15" s="2">
        <f t="shared" si="9"/>
        <v>91.912972608909527</v>
      </c>
      <c r="G15" s="2">
        <f t="shared" si="10"/>
        <v>61.742577003324215</v>
      </c>
      <c r="H15" s="2">
        <f t="shared" si="2"/>
        <v>65.974358974358978</v>
      </c>
      <c r="I15" s="2">
        <f t="shared" si="3"/>
        <v>65.974358974358978</v>
      </c>
      <c r="J15" s="2">
        <v>100</v>
      </c>
      <c r="K15" s="2">
        <f>K14</f>
        <v>100</v>
      </c>
      <c r="M15" s="2">
        <f t="shared" si="4"/>
        <v>13.474608217372909</v>
      </c>
      <c r="N15" s="2">
        <f t="shared" si="5"/>
        <v>88.607725482728227</v>
      </c>
      <c r="O15" s="2">
        <f t="shared" si="6"/>
        <v>13.474608217372909</v>
      </c>
      <c r="P15" s="2">
        <f t="shared" si="7"/>
        <v>88.607725482728227</v>
      </c>
      <c r="Q15" s="1">
        <f t="shared" si="11"/>
        <v>104.33180045763626</v>
      </c>
      <c r="R15" s="1">
        <f t="shared" si="12"/>
        <v>104.33180045763626</v>
      </c>
      <c r="AW15" s="1" t="str">
        <f t="shared" si="14"/>
        <v>K2</v>
      </c>
      <c r="AX15" s="9">
        <f t="shared" si="15"/>
        <v>0</v>
      </c>
      <c r="AY15" s="9">
        <f>K2e0</f>
        <v>53.846153846153847</v>
      </c>
      <c r="AZ15" s="9">
        <f>K2e1</f>
        <v>53.846153846153847</v>
      </c>
    </row>
    <row r="16" spans="1:52" x14ac:dyDescent="0.25">
      <c r="A16" s="1">
        <v>8</v>
      </c>
      <c r="B16" s="2">
        <f t="shared" si="0"/>
        <v>23.333333333333336</v>
      </c>
      <c r="C16" s="2">
        <f t="shared" si="1"/>
        <v>23.333333333333336</v>
      </c>
      <c r="D16" s="2">
        <f t="shared" si="13"/>
        <v>84.08441637324195</v>
      </c>
      <c r="E16" s="2">
        <f t="shared" si="8"/>
        <v>60.765240429488067</v>
      </c>
      <c r="F16" s="2">
        <f t="shared" si="9"/>
        <v>84.08441637324195</v>
      </c>
      <c r="G16" s="2">
        <f t="shared" si="10"/>
        <v>60.765240429488067</v>
      </c>
      <c r="H16" s="2">
        <f t="shared" si="2"/>
        <v>64.410256410256423</v>
      </c>
      <c r="I16" s="2">
        <f t="shared" si="3"/>
        <v>64.410256410256423</v>
      </c>
      <c r="M16" s="2">
        <f t="shared" si="4"/>
        <v>15.206247888627363</v>
      </c>
      <c r="N16" s="2">
        <f t="shared" si="5"/>
        <v>87.103068251914792</v>
      </c>
      <c r="O16" s="2">
        <f t="shared" si="6"/>
        <v>15.206247888627363</v>
      </c>
      <c r="P16" s="2">
        <f t="shared" si="7"/>
        <v>87.103068251914792</v>
      </c>
      <c r="Q16" s="1">
        <f t="shared" si="11"/>
        <v>99.063613438115837</v>
      </c>
      <c r="R16" s="1">
        <f t="shared" si="12"/>
        <v>99.063613438115837</v>
      </c>
      <c r="AW16" s="1" t="str">
        <f t="shared" si="14"/>
        <v>L2</v>
      </c>
      <c r="AX16" s="9">
        <f t="shared" si="15"/>
        <v>0</v>
      </c>
      <c r="AY16" s="9">
        <f>L2e0</f>
        <v>80.327868852459005</v>
      </c>
      <c r="AZ16" s="9">
        <f>L2e1</f>
        <v>80.327868852459005</v>
      </c>
    </row>
    <row r="17" spans="1:52" x14ac:dyDescent="0.25">
      <c r="A17" s="1">
        <v>9</v>
      </c>
      <c r="B17" s="2">
        <f t="shared" si="0"/>
        <v>25.714285714285715</v>
      </c>
      <c r="C17" s="2">
        <f t="shared" si="1"/>
        <v>25.714285714285715</v>
      </c>
      <c r="D17" s="2">
        <f t="shared" si="13"/>
        <v>77.73450411944053</v>
      </c>
      <c r="E17" s="2">
        <f t="shared" si="8"/>
        <v>59.751841864781497</v>
      </c>
      <c r="F17" s="2">
        <f t="shared" si="9"/>
        <v>77.73450411944053</v>
      </c>
      <c r="G17" s="2">
        <f t="shared" si="10"/>
        <v>59.751841864781497</v>
      </c>
      <c r="H17" s="2">
        <f t="shared" si="2"/>
        <v>62.846153846153854</v>
      </c>
      <c r="I17" s="2">
        <f t="shared" si="3"/>
        <v>62.846153846153854</v>
      </c>
      <c r="J17" s="2">
        <v>0</v>
      </c>
      <c r="K17" s="2">
        <f>SCapital1</f>
        <v>100</v>
      </c>
      <c r="M17" s="2">
        <f t="shared" si="4"/>
        <v>16.89669181263044</v>
      </c>
      <c r="N17" s="2">
        <f t="shared" si="5"/>
        <v>85.624996295473252</v>
      </c>
      <c r="O17" s="2">
        <f t="shared" si="6"/>
        <v>16.89669181263044</v>
      </c>
      <c r="P17" s="2">
        <f t="shared" si="7"/>
        <v>85.624996295473252</v>
      </c>
      <c r="Q17" s="1">
        <f t="shared" si="11"/>
        <v>94.687866122181163</v>
      </c>
      <c r="R17" s="1">
        <f t="shared" si="12"/>
        <v>94.687866122181163</v>
      </c>
      <c r="T17" s="1" t="s">
        <v>62</v>
      </c>
      <c r="AW17" s="1" t="str">
        <f t="shared" si="14"/>
        <v>P1/P2</v>
      </c>
      <c r="AX17" s="9">
        <f t="shared" si="15"/>
        <v>0</v>
      </c>
      <c r="AY17" s="9">
        <f>mrsc0</f>
        <v>0.93048781280125048</v>
      </c>
      <c r="AZ17" s="9">
        <f>mrsc1</f>
        <v>0.93048781280125048</v>
      </c>
    </row>
    <row r="18" spans="1:52" x14ac:dyDescent="0.25">
      <c r="A18" s="1">
        <v>10</v>
      </c>
      <c r="B18" s="2">
        <f t="shared" si="0"/>
        <v>28</v>
      </c>
      <c r="C18" s="2">
        <f t="shared" si="1"/>
        <v>28</v>
      </c>
      <c r="D18" s="2">
        <f t="shared" si="13"/>
        <v>72.461753410238884</v>
      </c>
      <c r="E18" s="2">
        <f t="shared" si="8"/>
        <v>58.700632160348782</v>
      </c>
      <c r="F18" s="2">
        <f t="shared" si="9"/>
        <v>72.461753410238884</v>
      </c>
      <c r="G18" s="2">
        <f t="shared" si="10"/>
        <v>58.700632160348782</v>
      </c>
      <c r="H18" s="2">
        <f t="shared" si="2"/>
        <v>61.282051282051292</v>
      </c>
      <c r="I18" s="2">
        <f t="shared" si="3"/>
        <v>61.282051282051292</v>
      </c>
      <c r="J18" s="2">
        <v>100</v>
      </c>
      <c r="K18" s="2">
        <f>K17</f>
        <v>100</v>
      </c>
      <c r="M18" s="2">
        <f t="shared" si="4"/>
        <v>18.547903119848378</v>
      </c>
      <c r="N18" s="2">
        <f t="shared" si="5"/>
        <v>84.172360304035877</v>
      </c>
      <c r="O18" s="2">
        <f t="shared" si="6"/>
        <v>18.547903119848378</v>
      </c>
      <c r="P18" s="2">
        <f t="shared" si="7"/>
        <v>84.172360304035877</v>
      </c>
      <c r="Q18" s="1">
        <f t="shared" si="11"/>
        <v>90.978784093396541</v>
      </c>
      <c r="R18" s="1">
        <f t="shared" si="12"/>
        <v>90.978784093396541</v>
      </c>
      <c r="T18" s="1" t="s">
        <v>63</v>
      </c>
      <c r="U18" s="1">
        <f>100*((X1e1/X1e0)-1)</f>
        <v>0</v>
      </c>
      <c r="AW18" s="1" t="str">
        <f t="shared" si="14"/>
        <v>W/R</v>
      </c>
      <c r="AX18" s="9">
        <f t="shared" si="15"/>
        <v>0</v>
      </c>
      <c r="AY18" s="9">
        <f>mrt0</f>
        <v>1.5641025641025641</v>
      </c>
      <c r="AZ18" s="9">
        <f>mrts1</f>
        <v>1.5641025641025641</v>
      </c>
    </row>
    <row r="19" spans="1:52" x14ac:dyDescent="0.25">
      <c r="A19" s="1">
        <v>11</v>
      </c>
      <c r="B19" s="2">
        <f t="shared" si="0"/>
        <v>30.196078431372548</v>
      </c>
      <c r="C19" s="2">
        <f t="shared" si="1"/>
        <v>30.196078431372548</v>
      </c>
      <c r="D19" s="2">
        <f t="shared" si="13"/>
        <v>68.000751978629296</v>
      </c>
      <c r="E19" s="2">
        <f t="shared" si="8"/>
        <v>57.609756567592726</v>
      </c>
      <c r="F19" s="2">
        <f t="shared" si="9"/>
        <v>68.000751978629296</v>
      </c>
      <c r="G19" s="2">
        <f t="shared" si="10"/>
        <v>57.609756567592726</v>
      </c>
      <c r="H19" s="2">
        <f t="shared" si="2"/>
        <v>59.71794871794873</v>
      </c>
      <c r="I19" s="2">
        <f t="shared" si="3"/>
        <v>59.71794871794873</v>
      </c>
      <c r="M19" s="2">
        <f t="shared" si="4"/>
        <v>20.161711727752827</v>
      </c>
      <c r="N19" s="2">
        <f t="shared" si="5"/>
        <v>82.744083743053736</v>
      </c>
      <c r="O19" s="2">
        <f t="shared" si="6"/>
        <v>20.161711727752827</v>
      </c>
      <c r="P19" s="2">
        <f t="shared" si="7"/>
        <v>82.744083743053736</v>
      </c>
      <c r="Q19" s="1">
        <f t="shared" si="11"/>
        <v>87.783295102708649</v>
      </c>
      <c r="R19" s="1">
        <f t="shared" si="12"/>
        <v>87.783295102708649</v>
      </c>
      <c r="T19" s="1" t="s">
        <v>65</v>
      </c>
      <c r="U19" s="1">
        <f>100*((K1e1/K1e0)-1)</f>
        <v>0</v>
      </c>
      <c r="AW19" s="1" t="str">
        <f t="shared" si="14"/>
        <v>U</v>
      </c>
      <c r="AX19" s="9">
        <f t="shared" si="15"/>
        <v>0</v>
      </c>
      <c r="AY19" s="9">
        <f>util0</f>
        <v>56.460736040983981</v>
      </c>
      <c r="AZ19" s="9">
        <f>util1</f>
        <v>56.460736040983981</v>
      </c>
    </row>
    <row r="20" spans="1:52" x14ac:dyDescent="0.25">
      <c r="A20" s="1">
        <v>12</v>
      </c>
      <c r="B20" s="2">
        <f t="shared" si="0"/>
        <v>32.307692307692314</v>
      </c>
      <c r="C20" s="2">
        <f t="shared" si="1"/>
        <v>32.307692307692314</v>
      </c>
      <c r="D20" s="2">
        <f t="shared" si="13"/>
        <v>64.168419332823035</v>
      </c>
      <c r="E20" s="2">
        <f t="shared" si="8"/>
        <v>56.477247080967906</v>
      </c>
      <c r="F20" s="2">
        <f t="shared" si="9"/>
        <v>64.168419332823035</v>
      </c>
      <c r="G20" s="2">
        <f t="shared" si="10"/>
        <v>56.477247080967906</v>
      </c>
      <c r="H20" s="2">
        <f t="shared" si="2"/>
        <v>58.15384615384616</v>
      </c>
      <c r="I20" s="2">
        <f t="shared" si="3"/>
        <v>58.15384615384616</v>
      </c>
      <c r="M20" s="2">
        <f t="shared" si="4"/>
        <v>21.739825874420891</v>
      </c>
      <c r="N20" s="2">
        <f t="shared" si="5"/>
        <v>81.339156887522932</v>
      </c>
      <c r="O20" s="2">
        <f t="shared" si="6"/>
        <v>21.739825874420891</v>
      </c>
      <c r="P20" s="2">
        <f t="shared" si="7"/>
        <v>81.339156887522932</v>
      </c>
      <c r="Q20" s="1">
        <f t="shared" si="11"/>
        <v>84.993421016517814</v>
      </c>
      <c r="R20" s="1">
        <f t="shared" si="12"/>
        <v>84.993421016517814</v>
      </c>
      <c r="T20" s="1" t="s">
        <v>67</v>
      </c>
      <c r="U20" s="1">
        <f>100*((L1e1/L1e0)-1)</f>
        <v>0</v>
      </c>
    </row>
    <row r="21" spans="1:52" x14ac:dyDescent="0.25">
      <c r="A21" s="1">
        <v>13</v>
      </c>
      <c r="B21" s="2">
        <f t="shared" si="0"/>
        <v>34.339622641509436</v>
      </c>
      <c r="C21" s="2">
        <f t="shared" si="1"/>
        <v>34.339622641509436</v>
      </c>
      <c r="D21" s="2">
        <f t="shared" si="13"/>
        <v>60.834032281587376</v>
      </c>
      <c r="E21" s="2">
        <f t="shared" si="8"/>
        <v>55.301014130432144</v>
      </c>
      <c r="F21" s="2">
        <f t="shared" si="9"/>
        <v>60.834032281587376</v>
      </c>
      <c r="G21" s="2">
        <f t="shared" si="10"/>
        <v>55.301014130432144</v>
      </c>
      <c r="H21" s="2">
        <f t="shared" si="2"/>
        <v>56.589743589743605</v>
      </c>
      <c r="I21" s="2">
        <f t="shared" si="3"/>
        <v>56.589743589743605</v>
      </c>
      <c r="M21" s="2">
        <f t="shared" si="4"/>
        <v>23.283842449029368</v>
      </c>
      <c r="N21" s="2">
        <f t="shared" si="5"/>
        <v>79.956631451383601</v>
      </c>
      <c r="O21" s="2">
        <f t="shared" si="6"/>
        <v>23.283842449029368</v>
      </c>
      <c r="P21" s="2">
        <f t="shared" si="7"/>
        <v>79.956631451383601</v>
      </c>
      <c r="Q21" s="1">
        <f t="shared" si="11"/>
        <v>82.530501766456752</v>
      </c>
      <c r="R21" s="1">
        <f t="shared" si="12"/>
        <v>82.530501766456752</v>
      </c>
      <c r="T21" s="1" t="s">
        <v>64</v>
      </c>
      <c r="U21" s="1">
        <f>100*((X2e1/X2e0)-1)</f>
        <v>0</v>
      </c>
    </row>
    <row r="22" spans="1:52" x14ac:dyDescent="0.25">
      <c r="A22" s="1">
        <v>14</v>
      </c>
      <c r="B22" s="2">
        <f t="shared" si="0"/>
        <v>36.296296296296298</v>
      </c>
      <c r="C22" s="2">
        <f t="shared" si="1"/>
        <v>36.296296296296298</v>
      </c>
      <c r="D22" s="2">
        <f t="shared" si="13"/>
        <v>57.901544474187986</v>
      </c>
      <c r="E22" s="2">
        <f t="shared" si="8"/>
        <v>54.078837560055248</v>
      </c>
      <c r="F22" s="2">
        <f t="shared" si="9"/>
        <v>57.901544474187986</v>
      </c>
      <c r="G22" s="2">
        <f t="shared" si="10"/>
        <v>54.078837560055248</v>
      </c>
      <c r="H22" s="2">
        <f t="shared" si="2"/>
        <v>55.025641025641036</v>
      </c>
      <c r="I22" s="2">
        <f t="shared" si="3"/>
        <v>55.025641025641036</v>
      </c>
      <c r="M22" s="2">
        <f t="shared" si="4"/>
        <v>24.795256265117029</v>
      </c>
      <c r="N22" s="2">
        <f t="shared" si="5"/>
        <v>78.59561574222316</v>
      </c>
      <c r="O22" s="2">
        <f t="shared" si="6"/>
        <v>24.795256265117029</v>
      </c>
      <c r="P22" s="2">
        <f t="shared" si="7"/>
        <v>78.59561574222316</v>
      </c>
      <c r="Q22" s="1">
        <f t="shared" si="11"/>
        <v>80.335686135490363</v>
      </c>
      <c r="R22" s="1">
        <f t="shared" si="12"/>
        <v>80.335686135490363</v>
      </c>
      <c r="T22" s="1" t="s">
        <v>66</v>
      </c>
      <c r="U22" s="1">
        <f>100*((K2e1/K2e0)-1)</f>
        <v>0</v>
      </c>
    </row>
    <row r="23" spans="1:52" x14ac:dyDescent="0.25">
      <c r="A23" s="1">
        <v>15</v>
      </c>
      <c r="B23" s="2">
        <f t="shared" si="0"/>
        <v>38.18181818181818</v>
      </c>
      <c r="C23" s="2">
        <f t="shared" si="1"/>
        <v>38.18181818181818</v>
      </c>
      <c r="D23" s="2">
        <f t="shared" si="13"/>
        <v>55.298667446058666</v>
      </c>
      <c r="E23" s="2">
        <f t="shared" si="8"/>
        <v>52.808356822256627</v>
      </c>
      <c r="F23" s="2">
        <f t="shared" si="9"/>
        <v>55.298667446058666</v>
      </c>
      <c r="G23" s="2">
        <f t="shared" si="10"/>
        <v>52.808356822256627</v>
      </c>
      <c r="H23" s="2">
        <f t="shared" si="2"/>
        <v>53.461538461538474</v>
      </c>
      <c r="I23" s="2">
        <f t="shared" si="3"/>
        <v>53.461538461538474</v>
      </c>
      <c r="M23" s="2">
        <f t="shared" si="4"/>
        <v>26.275468402433159</v>
      </c>
      <c r="N23" s="2">
        <f t="shared" si="5"/>
        <v>77.25527028113649</v>
      </c>
      <c r="O23" s="2">
        <f t="shared" si="6"/>
        <v>26.275468402433159</v>
      </c>
      <c r="P23" s="2">
        <f t="shared" si="7"/>
        <v>77.25527028113649</v>
      </c>
      <c r="Q23" s="1">
        <f t="shared" si="11"/>
        <v>78.363942842132147</v>
      </c>
      <c r="R23" s="1">
        <f t="shared" si="12"/>
        <v>78.363942842132147</v>
      </c>
      <c r="T23" s="1" t="s">
        <v>68</v>
      </c>
      <c r="U23" s="1">
        <f>100*((L2e1/L2e0)-1)</f>
        <v>0</v>
      </c>
    </row>
    <row r="24" spans="1:52" x14ac:dyDescent="0.25">
      <c r="A24" s="1">
        <v>16</v>
      </c>
      <c r="B24" s="2">
        <f t="shared" si="0"/>
        <v>40</v>
      </c>
      <c r="C24" s="2">
        <f t="shared" si="1"/>
        <v>40</v>
      </c>
      <c r="D24" s="2">
        <f t="shared" si="13"/>
        <v>52.969863078386311</v>
      </c>
      <c r="E24" s="2">
        <f t="shared" si="8"/>
        <v>51.487060309246012</v>
      </c>
      <c r="F24" s="2">
        <f t="shared" si="9"/>
        <v>52.969863078386311</v>
      </c>
      <c r="G24" s="2">
        <f t="shared" si="10"/>
        <v>51.487060309246012</v>
      </c>
      <c r="H24" s="2">
        <f t="shared" si="2"/>
        <v>51.897435897435912</v>
      </c>
      <c r="I24" s="2">
        <f t="shared" si="3"/>
        <v>51.897435897435912</v>
      </c>
      <c r="M24" s="2">
        <f t="shared" si="4"/>
        <v>27.725793726205847</v>
      </c>
      <c r="N24" s="2">
        <f t="shared" si="5"/>
        <v>75.934803835447937</v>
      </c>
      <c r="O24" s="2">
        <f t="shared" si="6"/>
        <v>27.725793726205847</v>
      </c>
      <c r="P24" s="2">
        <f t="shared" si="7"/>
        <v>75.934803835447937</v>
      </c>
      <c r="Q24" s="1">
        <f t="shared" si="11"/>
        <v>76.580147536995099</v>
      </c>
      <c r="R24" s="1">
        <f t="shared" si="12"/>
        <v>76.580147536995099</v>
      </c>
      <c r="T24" s="1" t="s">
        <v>69</v>
      </c>
      <c r="U24" s="1">
        <f>100*((mrsc1/mrsc0)-1)</f>
        <v>0</v>
      </c>
    </row>
    <row r="25" spans="1:52" x14ac:dyDescent="0.25">
      <c r="A25" s="1">
        <v>17</v>
      </c>
      <c r="B25" s="2">
        <f t="shared" si="0"/>
        <v>41.754385964912288</v>
      </c>
      <c r="C25" s="2">
        <f t="shared" si="1"/>
        <v>41.754385964912288</v>
      </c>
      <c r="D25" s="2">
        <f t="shared" si="13"/>
        <v>50.871696913354995</v>
      </c>
      <c r="E25" s="2">
        <f t="shared" si="8"/>
        <v>50.112273734353053</v>
      </c>
      <c r="F25" s="2">
        <f t="shared" si="9"/>
        <v>50.871696913354995</v>
      </c>
      <c r="G25" s="2">
        <f t="shared" si="10"/>
        <v>50.112273734353053</v>
      </c>
      <c r="H25" s="2">
        <f t="shared" si="2"/>
        <v>50.333333333333343</v>
      </c>
      <c r="I25" s="2">
        <f t="shared" si="3"/>
        <v>50.333333333333343</v>
      </c>
      <c r="M25" s="2">
        <f t="shared" si="4"/>
        <v>29.147467678231557</v>
      </c>
      <c r="N25" s="2">
        <f t="shared" si="5"/>
        <v>74.633469818704796</v>
      </c>
      <c r="O25" s="2">
        <f t="shared" si="6"/>
        <v>29.147467678231557</v>
      </c>
      <c r="P25" s="2">
        <f t="shared" si="7"/>
        <v>74.633469818704796</v>
      </c>
      <c r="Q25" s="1">
        <f t="shared" si="11"/>
        <v>74.956445011676166</v>
      </c>
      <c r="R25" s="1">
        <f t="shared" si="12"/>
        <v>74.956445011676166</v>
      </c>
      <c r="T25" s="1" t="s">
        <v>70</v>
      </c>
      <c r="U25" s="1">
        <f>100*((mrts1/mrt0)-1)</f>
        <v>0</v>
      </c>
    </row>
    <row r="26" spans="1:52" x14ac:dyDescent="0.25">
      <c r="A26" s="1">
        <v>18</v>
      </c>
      <c r="B26" s="2">
        <f t="shared" si="0"/>
        <v>43.448275862068968</v>
      </c>
      <c r="C26" s="2">
        <f t="shared" si="1"/>
        <v>43.448275862068968</v>
      </c>
      <c r="D26" s="2">
        <f t="shared" si="13"/>
        <v>48.969669021611409</v>
      </c>
      <c r="E26" s="2">
        <f t="shared" si="8"/>
        <v>48.681147465911046</v>
      </c>
      <c r="F26" s="2">
        <f t="shared" si="9"/>
        <v>48.969669021611409</v>
      </c>
      <c r="G26" s="2">
        <f t="shared" si="10"/>
        <v>48.681147465911046</v>
      </c>
      <c r="H26" s="2">
        <f t="shared" si="2"/>
        <v>48.769230769230781</v>
      </c>
      <c r="I26" s="2">
        <f t="shared" si="3"/>
        <v>48.769230769230781</v>
      </c>
      <c r="M26" s="2">
        <f t="shared" si="4"/>
        <v>30.541652421889733</v>
      </c>
      <c r="N26" s="2">
        <f t="shared" si="5"/>
        <v>73.350563018094491</v>
      </c>
      <c r="O26" s="2">
        <f t="shared" si="6"/>
        <v>30.541652421889733</v>
      </c>
      <c r="P26" s="2">
        <f t="shared" si="7"/>
        <v>73.350563018094491</v>
      </c>
      <c r="Q26" s="1">
        <f t="shared" si="11"/>
        <v>73.47042255459003</v>
      </c>
      <c r="R26" s="1">
        <f t="shared" si="12"/>
        <v>73.47042255459003</v>
      </c>
      <c r="T26" s="1" t="s">
        <v>71</v>
      </c>
      <c r="U26" s="1">
        <f>100*((util1/util0)-1)</f>
        <v>0</v>
      </c>
    </row>
    <row r="27" spans="1:52" x14ac:dyDescent="0.25">
      <c r="A27" s="1">
        <v>19</v>
      </c>
      <c r="B27" s="2">
        <f t="shared" si="0"/>
        <v>45.084745762711869</v>
      </c>
      <c r="C27" s="2">
        <f t="shared" si="1"/>
        <v>45.084745762711869</v>
      </c>
      <c r="D27" s="2">
        <f t="shared" si="13"/>
        <v>47.235999006774968</v>
      </c>
      <c r="E27" s="2">
        <f t="shared" si="8"/>
        <v>47.190642705057776</v>
      </c>
      <c r="F27" s="2">
        <f t="shared" si="9"/>
        <v>47.235999006774968</v>
      </c>
      <c r="G27" s="2">
        <f t="shared" si="10"/>
        <v>47.190642705057776</v>
      </c>
      <c r="H27" s="2">
        <f t="shared" si="2"/>
        <v>47.205128205128219</v>
      </c>
      <c r="I27" s="2">
        <f t="shared" si="3"/>
        <v>47.205128205128219</v>
      </c>
      <c r="M27" s="2">
        <f t="shared" si="4"/>
        <v>31.909442412672824</v>
      </c>
      <c r="N27" s="2">
        <f t="shared" si="5"/>
        <v>72.085416614373571</v>
      </c>
      <c r="O27" s="2">
        <f t="shared" si="6"/>
        <v>31.909442412672824</v>
      </c>
      <c r="P27" s="2">
        <f>TechB1*(MAX(SCapital1-C27,0)^beta1)*(MAX(SLab1-A27,0)^(1-beta1))</f>
        <v>72.085416614373571</v>
      </c>
      <c r="Q27" s="1">
        <f t="shared" si="11"/>
        <v>72.103815048260117</v>
      </c>
      <c r="R27" s="1">
        <f t="shared" si="12"/>
        <v>72.103815048260117</v>
      </c>
    </row>
    <row r="28" spans="1:52" x14ac:dyDescent="0.25">
      <c r="A28" s="1">
        <v>20</v>
      </c>
      <c r="B28" s="2">
        <f t="shared" si="0"/>
        <v>46.666666666666664</v>
      </c>
      <c r="C28" s="2">
        <f t="shared" si="1"/>
        <v>46.666666666666664</v>
      </c>
      <c r="D28" s="2">
        <f t="shared" si="13"/>
        <v>45.64804421692579</v>
      </c>
      <c r="E28" s="2">
        <f t="shared" si="8"/>
        <v>45.637516386032708</v>
      </c>
      <c r="F28" s="2">
        <f t="shared" si="9"/>
        <v>45.64804421692579</v>
      </c>
      <c r="G28" s="2">
        <f t="shared" si="10"/>
        <v>45.637516386032708</v>
      </c>
      <c r="H28" s="2">
        <f t="shared" si="2"/>
        <v>45.641025641025649</v>
      </c>
      <c r="I28" s="2">
        <f t="shared" si="3"/>
        <v>45.641025641025649</v>
      </c>
      <c r="M28" s="2">
        <f t="shared" si="4"/>
        <v>33.251869456810404</v>
      </c>
      <c r="N28" s="2">
        <f t="shared" si="5"/>
        <v>70.837399463644473</v>
      </c>
      <c r="O28" s="2">
        <f t="shared" si="6"/>
        <v>33.251869456810404</v>
      </c>
      <c r="P28" s="2">
        <f t="shared" si="7"/>
        <v>70.837399463644473</v>
      </c>
      <c r="Q28" s="1">
        <f t="shared" si="11"/>
        <v>70.841567936039681</v>
      </c>
      <c r="R28" s="1">
        <f t="shared" si="12"/>
        <v>70.841567936039681</v>
      </c>
    </row>
    <row r="29" spans="1:52" x14ac:dyDescent="0.25">
      <c r="A29" s="1">
        <v>21</v>
      </c>
      <c r="B29" s="2">
        <f t="shared" si="0"/>
        <v>48.196721311475407</v>
      </c>
      <c r="C29" s="2">
        <f t="shared" si="1"/>
        <v>48.196721311475407</v>
      </c>
      <c r="D29" s="2">
        <f t="shared" si="13"/>
        <v>44.187148416958777</v>
      </c>
      <c r="E29" s="2">
        <f t="shared" si="8"/>
        <v>44.018304663089381</v>
      </c>
      <c r="F29" s="2">
        <f t="shared" si="9"/>
        <v>44.187148416958777</v>
      </c>
      <c r="G29" s="2">
        <f t="shared" si="10"/>
        <v>44.018304663089381</v>
      </c>
      <c r="H29" s="2">
        <f t="shared" si="2"/>
        <v>44.076923076923087</v>
      </c>
      <c r="I29" s="2">
        <f t="shared" si="3"/>
        <v>44.076923076923087</v>
      </c>
      <c r="M29" s="2">
        <f t="shared" si="4"/>
        <v>34.569907312820106</v>
      </c>
      <c r="N29" s="2">
        <f t="shared" si="5"/>
        <v>69.605913613987894</v>
      </c>
      <c r="O29" s="2">
        <f t="shared" si="6"/>
        <v>34.569907312820106</v>
      </c>
      <c r="P29" s="2">
        <f t="shared" si="7"/>
        <v>69.605913613987894</v>
      </c>
      <c r="Q29" s="1">
        <f t="shared" si="11"/>
        <v>69.671146685958618</v>
      </c>
      <c r="R29" s="1">
        <f t="shared" si="12"/>
        <v>69.671146685958618</v>
      </c>
    </row>
    <row r="30" spans="1:52" x14ac:dyDescent="0.25">
      <c r="A30" s="1">
        <v>22</v>
      </c>
      <c r="B30" s="2">
        <f t="shared" si="0"/>
        <v>49.677419354838705</v>
      </c>
      <c r="C30" s="2">
        <f t="shared" si="1"/>
        <v>49.677419354838705</v>
      </c>
      <c r="D30" s="2">
        <f t="shared" si="13"/>
        <v>42.837789413277733</v>
      </c>
      <c r="E30" s="2">
        <f t="shared" si="8"/>
        <v>42.329304831742718</v>
      </c>
      <c r="F30" s="2">
        <f t="shared" si="9"/>
        <v>42.837789413277733</v>
      </c>
      <c r="G30" s="2">
        <f t="shared" si="10"/>
        <v>42.329304831742718</v>
      </c>
      <c r="H30" s="2">
        <f t="shared" si="2"/>
        <v>42.512820512820525</v>
      </c>
      <c r="I30" s="2">
        <f t="shared" si="3"/>
        <v>42.512820512820525</v>
      </c>
      <c r="M30" s="2">
        <f t="shared" si="4"/>
        <v>35.864475884140703</v>
      </c>
      <c r="N30" s="2">
        <f t="shared" si="5"/>
        <v>68.390392033137047</v>
      </c>
      <c r="O30" s="2">
        <f t="shared" si="6"/>
        <v>35.864475884140703</v>
      </c>
      <c r="P30" s="2">
        <f t="shared" si="7"/>
        <v>68.390392033137047</v>
      </c>
      <c r="Q30" s="1">
        <f t="shared" si="11"/>
        <v>68.582019568717442</v>
      </c>
      <c r="R30" s="1">
        <f t="shared" si="12"/>
        <v>68.582019568717442</v>
      </c>
    </row>
    <row r="31" spans="1:52" x14ac:dyDescent="0.25">
      <c r="A31" s="1">
        <v>23</v>
      </c>
      <c r="B31" s="2">
        <f t="shared" si="0"/>
        <v>51.111111111111114</v>
      </c>
      <c r="C31" s="2">
        <f t="shared" si="1"/>
        <v>51.111111111111114</v>
      </c>
      <c r="D31" s="2">
        <f t="shared" si="13"/>
        <v>41.586938303296151</v>
      </c>
      <c r="E31" s="2">
        <f t="shared" si="8"/>
        <v>40.56655551345704</v>
      </c>
      <c r="F31" s="2">
        <f t="shared" si="9"/>
        <v>41.586938303296151</v>
      </c>
      <c r="G31" s="2">
        <f t="shared" si="10"/>
        <v>40.56655551345704</v>
      </c>
      <c r="H31" s="2">
        <f t="shared" si="2"/>
        <v>40.948717948717963</v>
      </c>
      <c r="I31" s="2">
        <f t="shared" si="3"/>
        <v>40.948717948717963</v>
      </c>
      <c r="M31" s="2">
        <f t="shared" si="4"/>
        <v>37.136445045234169</v>
      </c>
      <c r="N31" s="2">
        <f t="shared" si="5"/>
        <v>67.190296526138809</v>
      </c>
      <c r="O31" s="2">
        <f t="shared" si="6"/>
        <v>37.136445045234169</v>
      </c>
      <c r="P31" s="2">
        <f t="shared" si="7"/>
        <v>67.190296526138809</v>
      </c>
      <c r="Q31" s="1">
        <f t="shared" si="11"/>
        <v>67.565264556374331</v>
      </c>
      <c r="R31" s="1">
        <f t="shared" si="12"/>
        <v>67.565264556374331</v>
      </c>
    </row>
    <row r="32" spans="1:52" x14ac:dyDescent="0.25">
      <c r="A32" s="1">
        <v>24</v>
      </c>
      <c r="B32" s="2">
        <f t="shared" si="0"/>
        <v>52.5</v>
      </c>
      <c r="C32" s="2">
        <f t="shared" si="1"/>
        <v>52.5</v>
      </c>
      <c r="D32" s="2">
        <f t="shared" si="13"/>
        <v>40.423571127952428</v>
      </c>
      <c r="E32" s="2">
        <f t="shared" si="8"/>
        <v>38.725814911708973</v>
      </c>
      <c r="F32" s="2">
        <f t="shared" si="9"/>
        <v>40.423571127952428</v>
      </c>
      <c r="G32" s="2">
        <f t="shared" si="10"/>
        <v>38.725814911708973</v>
      </c>
      <c r="H32" s="2">
        <f t="shared" si="2"/>
        <v>39.384615384615394</v>
      </c>
      <c r="I32" s="2">
        <f t="shared" si="3"/>
        <v>39.384615384615394</v>
      </c>
      <c r="M32" s="2">
        <f t="shared" si="4"/>
        <v>38.386638138545727</v>
      </c>
      <c r="N32" s="2">
        <f t="shared" si="5"/>
        <v>66.005115824348081</v>
      </c>
      <c r="O32" s="2">
        <f t="shared" si="6"/>
        <v>38.386638138545727</v>
      </c>
      <c r="P32" s="2">
        <f t="shared" si="7"/>
        <v>66.005115824348081</v>
      </c>
      <c r="Q32" s="1">
        <f t="shared" si="11"/>
        <v>66.613266594236649</v>
      </c>
      <c r="R32" s="1">
        <f t="shared" si="12"/>
        <v>66.613266594236649</v>
      </c>
    </row>
    <row r="33" spans="1:18" x14ac:dyDescent="0.25">
      <c r="A33" s="1">
        <v>25</v>
      </c>
      <c r="B33" s="2">
        <f t="shared" si="0"/>
        <v>53.846153846153847</v>
      </c>
      <c r="C33" s="2">
        <f t="shared" si="1"/>
        <v>53.846153846153847</v>
      </c>
      <c r="D33" s="2">
        <f t="shared" si="13"/>
        <v>39.338291997221695</v>
      </c>
      <c r="E33" s="2">
        <f t="shared" si="8"/>
        <v>36.802536923252646</v>
      </c>
      <c r="F33" s="2">
        <f t="shared" si="9"/>
        <v>39.338291997221695</v>
      </c>
      <c r="G33" s="2">
        <f t="shared" si="10"/>
        <v>36.802536923252646</v>
      </c>
      <c r="H33" s="2">
        <f t="shared" si="2"/>
        <v>37.820512820512832</v>
      </c>
      <c r="I33" s="2">
        <f t="shared" si="3"/>
        <v>37.820512820512832</v>
      </c>
      <c r="M33" s="2">
        <f t="shared" si="4"/>
        <v>39.615835175370925</v>
      </c>
      <c r="N33" s="2">
        <f t="shared" si="5"/>
        <v>64.834363829195865</v>
      </c>
      <c r="O33" s="2">
        <f t="shared" si="6"/>
        <v>39.615835175370925</v>
      </c>
      <c r="P33" s="2">
        <f t="shared" si="7"/>
        <v>64.834363829195865</v>
      </c>
      <c r="Q33" s="1">
        <f t="shared" si="11"/>
        <v>65.719481666201233</v>
      </c>
      <c r="R33" s="1">
        <f t="shared" si="12"/>
        <v>65.719481666201233</v>
      </c>
    </row>
    <row r="34" spans="1:18" x14ac:dyDescent="0.25">
      <c r="A34" s="1">
        <v>26</v>
      </c>
      <c r="B34" s="2">
        <f t="shared" si="0"/>
        <v>55.151515151515163</v>
      </c>
      <c r="C34" s="2">
        <f t="shared" si="1"/>
        <v>55.151515151515163</v>
      </c>
      <c r="D34" s="2">
        <f t="shared" si="13"/>
        <v>38.323038910778074</v>
      </c>
      <c r="E34" s="2">
        <f t="shared" si="8"/>
        <v>34.791844860902401</v>
      </c>
      <c r="F34" s="2">
        <f t="shared" si="9"/>
        <v>38.323038910778074</v>
      </c>
      <c r="G34" s="2">
        <f t="shared" si="10"/>
        <v>34.791844860902401</v>
      </c>
      <c r="H34" s="2">
        <f t="shared" si="2"/>
        <v>36.25641025641027</v>
      </c>
      <c r="I34" s="2">
        <f t="shared" si="3"/>
        <v>36.25641025641027</v>
      </c>
      <c r="M34" s="2">
        <f t="shared" si="4"/>
        <v>40.824775769902622</v>
      </c>
      <c r="N34" s="2">
        <f t="shared" si="5"/>
        <v>63.677577996001141</v>
      </c>
      <c r="O34" s="2">
        <f t="shared" si="6"/>
        <v>40.824775769902622</v>
      </c>
      <c r="P34" s="2">
        <f t="shared" si="7"/>
        <v>63.677577996001141</v>
      </c>
      <c r="Q34" s="1">
        <f t="shared" si="11"/>
        <v>64.878250902101612</v>
      </c>
      <c r="R34" s="1">
        <f t="shared" si="12"/>
        <v>64.878250902101612</v>
      </c>
    </row>
    <row r="35" spans="1:18" x14ac:dyDescent="0.25">
      <c r="A35" s="1">
        <v>27</v>
      </c>
      <c r="B35" s="2">
        <f t="shared" si="0"/>
        <v>56.417910447761187</v>
      </c>
      <c r="C35" s="2">
        <f t="shared" si="1"/>
        <v>56.417910447761187</v>
      </c>
      <c r="D35" s="2">
        <f t="shared" si="13"/>
        <v>37.37085172144085</v>
      </c>
      <c r="E35" s="2">
        <f t="shared" si="8"/>
        <v>32.688502512714166</v>
      </c>
      <c r="F35" s="2">
        <f t="shared" si="9"/>
        <v>37.37085172144085</v>
      </c>
      <c r="G35" s="2">
        <f t="shared" si="10"/>
        <v>32.688502512714166</v>
      </c>
      <c r="H35" s="2">
        <f t="shared" si="2"/>
        <v>34.692307692307701</v>
      </c>
      <c r="I35" s="2">
        <f t="shared" si="3"/>
        <v>34.692307692307701</v>
      </c>
      <c r="M35" s="2">
        <f t="shared" si="4"/>
        <v>42.014161832435157</v>
      </c>
      <c r="N35" s="2">
        <f t="shared" si="5"/>
        <v>62.53431784470115</v>
      </c>
      <c r="O35" s="2">
        <f t="shared" si="6"/>
        <v>42.014161832435157</v>
      </c>
      <c r="P35" s="2">
        <f t="shared" si="7"/>
        <v>62.53431784470115</v>
      </c>
      <c r="Q35" s="1">
        <f t="shared" si="11"/>
        <v>64.084652645222945</v>
      </c>
      <c r="R35" s="1">
        <f t="shared" si="12"/>
        <v>64.084652645222945</v>
      </c>
    </row>
    <row r="36" spans="1:18" x14ac:dyDescent="0.25">
      <c r="A36" s="1">
        <v>28</v>
      </c>
      <c r="B36" s="2">
        <f t="shared" si="0"/>
        <v>57.647058823529413</v>
      </c>
      <c r="C36" s="2">
        <f t="shared" si="1"/>
        <v>57.647058823529413</v>
      </c>
      <c r="D36" s="2">
        <f t="shared" si="13"/>
        <v>36.475687352226828</v>
      </c>
      <c r="E36" s="2">
        <f t="shared" si="8"/>
        <v>30.486882226459656</v>
      </c>
      <c r="F36" s="2">
        <f t="shared" si="9"/>
        <v>36.475687352226828</v>
      </c>
      <c r="G36" s="2">
        <f t="shared" si="10"/>
        <v>30.486882226459656</v>
      </c>
      <c r="H36" s="2">
        <f t="shared" si="2"/>
        <v>33.128205128205138</v>
      </c>
      <c r="I36" s="2">
        <f t="shared" si="3"/>
        <v>33.128205128205138</v>
      </c>
      <c r="M36" s="2">
        <f t="shared" si="4"/>
        <v>43.184660044823666</v>
      </c>
      <c r="N36" s="2">
        <f t="shared" si="5"/>
        <v>61.404163585782214</v>
      </c>
      <c r="O36" s="2">
        <f t="shared" si="6"/>
        <v>43.184660044823666</v>
      </c>
      <c r="P36" s="2">
        <f t="shared" si="7"/>
        <v>61.404163585782214</v>
      </c>
      <c r="Q36" s="1">
        <f t="shared" si="11"/>
        <v>63.334383644725584</v>
      </c>
      <c r="R36" s="1">
        <f t="shared" si="12"/>
        <v>63.334383644725584</v>
      </c>
    </row>
    <row r="37" spans="1:18" x14ac:dyDescent="0.25">
      <c r="A37" s="1">
        <v>29</v>
      </c>
      <c r="B37" s="2">
        <f t="shared" si="0"/>
        <v>58.840579710144929</v>
      </c>
      <c r="C37" s="2">
        <f t="shared" si="1"/>
        <v>58.840579710144929</v>
      </c>
      <c r="D37" s="2">
        <f t="shared" si="13"/>
        <v>35.632271338135936</v>
      </c>
      <c r="E37" s="2">
        <f t="shared" si="8"/>
        <v>28.180929667005046</v>
      </c>
      <c r="F37" s="2">
        <f t="shared" si="9"/>
        <v>35.632271338135936</v>
      </c>
      <c r="G37" s="2">
        <f t="shared" si="10"/>
        <v>28.180929667005046</v>
      </c>
      <c r="H37" s="2">
        <f t="shared" si="2"/>
        <v>31.564102564102576</v>
      </c>
      <c r="I37" s="2">
        <f t="shared" si="3"/>
        <v>31.564102564102576</v>
      </c>
      <c r="M37" s="2">
        <f t="shared" si="4"/>
        <v>44.336904138772482</v>
      </c>
      <c r="N37" s="2">
        <f t="shared" si="5"/>
        <v>60.286714850930487</v>
      </c>
      <c r="O37" s="2">
        <f t="shared" si="6"/>
        <v>44.336904138772482</v>
      </c>
      <c r="P37" s="2">
        <f t="shared" si="7"/>
        <v>60.286714850930487</v>
      </c>
      <c r="Q37" s="1">
        <f t="shared" si="11"/>
        <v>62.623662829366822</v>
      </c>
      <c r="R37" s="1">
        <f t="shared" si="12"/>
        <v>62.623662829366822</v>
      </c>
    </row>
    <row r="38" spans="1:18" x14ac:dyDescent="0.25">
      <c r="A38" s="1">
        <v>30</v>
      </c>
      <c r="B38" s="2">
        <f t="shared" si="0"/>
        <v>60</v>
      </c>
      <c r="C38" s="2">
        <f t="shared" si="1"/>
        <v>60</v>
      </c>
      <c r="D38" s="2">
        <f t="shared" si="13"/>
        <v>34.83597757321283</v>
      </c>
      <c r="E38" s="2">
        <f t="shared" si="8"/>
        <v>25.764124846788889</v>
      </c>
      <c r="F38" s="2">
        <f t="shared" si="9"/>
        <v>34.83597757321283</v>
      </c>
      <c r="G38" s="2">
        <f t="shared" si="10"/>
        <v>25.764124846788889</v>
      </c>
      <c r="H38" s="2">
        <f t="shared" si="2"/>
        <v>30.000000000000014</v>
      </c>
      <c r="I38" s="2">
        <f t="shared" si="3"/>
        <v>30.000000000000014</v>
      </c>
      <c r="M38" s="2">
        <f t="shared" si="4"/>
        <v>45.471496995311931</v>
      </c>
      <c r="N38" s="2">
        <f t="shared" si="5"/>
        <v>59.181589519014956</v>
      </c>
      <c r="O38" s="2">
        <f t="shared" si="6"/>
        <v>45.471496995311931</v>
      </c>
      <c r="P38" s="2">
        <f t="shared" si="7"/>
        <v>59.181589519014956</v>
      </c>
      <c r="Q38" s="1">
        <f t="shared" si="11"/>
        <v>61.949152759164527</v>
      </c>
      <c r="R38" s="1">
        <f t="shared" si="12"/>
        <v>61.949152759164527</v>
      </c>
    </row>
    <row r="39" spans="1:18" x14ac:dyDescent="0.25">
      <c r="A39" s="1">
        <v>31</v>
      </c>
      <c r="B39" s="2">
        <f t="shared" si="0"/>
        <v>61.126760563380287</v>
      </c>
      <c r="C39" s="2">
        <f t="shared" si="1"/>
        <v>61.126760563380287</v>
      </c>
      <c r="D39" s="2">
        <f t="shared" si="13"/>
        <v>34.08273016290633</v>
      </c>
      <c r="E39" s="2">
        <f t="shared" si="8"/>
        <v>23.229438974991083</v>
      </c>
      <c r="F39" s="2">
        <f t="shared" si="9"/>
        <v>34.08273016290633</v>
      </c>
      <c r="G39" s="2">
        <f t="shared" si="10"/>
        <v>23.229438974991083</v>
      </c>
      <c r="H39" s="2">
        <f t="shared" si="2"/>
        <v>28.435897435897445</v>
      </c>
      <c r="I39" s="2">
        <f t="shared" si="3"/>
        <v>28.435897435897445</v>
      </c>
      <c r="M39" s="2">
        <f t="shared" si="4"/>
        <v>46.589012581874876</v>
      </c>
      <c r="N39" s="2">
        <f t="shared" si="5"/>
        <v>58.088422628977661</v>
      </c>
      <c r="O39" s="2">
        <f t="shared" si="6"/>
        <v>46.589012581874876</v>
      </c>
      <c r="P39" s="2">
        <f t="shared" si="7"/>
        <v>58.088422628977661</v>
      </c>
      <c r="Q39" s="1">
        <f t="shared" si="11"/>
        <v>61.307895040825358</v>
      </c>
      <c r="R39" s="1">
        <f t="shared" si="12"/>
        <v>61.307895040825358</v>
      </c>
    </row>
    <row r="40" spans="1:18" x14ac:dyDescent="0.25">
      <c r="A40" s="1">
        <v>32</v>
      </c>
      <c r="B40" s="2">
        <f t="shared" ref="B40:B71" si="16">(alpha0*(1-beta0)*$A40*SCapital0)/(alpha0*(1-beta0)*$A40+beta0*(1-alpha0)*MAX(SLab0-$A40,0))</f>
        <v>62.222222222222221</v>
      </c>
      <c r="C40" s="2">
        <f t="shared" ref="C40:C71" si="17">(alpha1*(1-beta1)*$A40*SCapital1)/(alpha1*(1-beta1)*$A40+beta1*(1-alpha1)*MAX(SLab1-$A40,0))</f>
        <v>62.222222222222221</v>
      </c>
      <c r="D40" s="2">
        <f t="shared" si="13"/>
        <v>33.368922751254054</v>
      </c>
      <c r="E40" s="2">
        <f t="shared" si="8"/>
        <v>20.56928660801816</v>
      </c>
      <c r="F40" s="2">
        <f t="shared" si="9"/>
        <v>33.368922751254054</v>
      </c>
      <c r="G40" s="2">
        <f t="shared" si="10"/>
        <v>20.56928660801816</v>
      </c>
      <c r="H40" s="2">
        <f t="shared" ref="H40:H71" si="18">interc0-mrt0*A40</f>
        <v>26.871794871794883</v>
      </c>
      <c r="I40" s="2">
        <f t="shared" ref="I40:I71" si="19">interc1-mrts1*A40</f>
        <v>26.871794871794883</v>
      </c>
      <c r="M40" s="2">
        <f t="shared" ref="M40:M71" si="20">TechA0*(B40^alpha0)*(A40^(1-alpha0))</f>
        <v>47.689997741665998</v>
      </c>
      <c r="N40" s="2">
        <f t="shared" ref="N40:N71" si="21">TechB0*(MAX(SCapital0-B40,0)^beta0)*(MAX(SLab0-A40,0)^(1-beta0))</f>
        <v>57.006865372059593</v>
      </c>
      <c r="O40" s="2">
        <f t="shared" ref="O40:O71" si="22">TechA1*(C40^alpha1)*(A40^(1-alpha1))</f>
        <v>47.689997741665998</v>
      </c>
      <c r="P40" s="2">
        <f t="shared" ref="P40:P71" si="23">TechB1*(MAX(SCapital1-C40,0)^beta1)*(MAX(SLab1-A40,0)^(1-beta1))</f>
        <v>57.006865372059593</v>
      </c>
      <c r="Q40" s="1">
        <f t="shared" si="11"/>
        <v>60.697256865206725</v>
      </c>
      <c r="R40" s="1">
        <f t="shared" si="12"/>
        <v>60.697256865206725</v>
      </c>
    </row>
    <row r="41" spans="1:18" x14ac:dyDescent="0.25">
      <c r="A41" s="1">
        <v>33</v>
      </c>
      <c r="B41" s="2">
        <f t="shared" si="16"/>
        <v>63.287671232876718</v>
      </c>
      <c r="C41" s="2">
        <f t="shared" si="17"/>
        <v>63.287671232876718</v>
      </c>
      <c r="D41" s="2">
        <f t="shared" ref="D41:D72" si="24">(X1e0/(TechA0*($A41^(1-alpha0))))^(1/alpha0)</f>
        <v>32.691351773919578</v>
      </c>
      <c r="E41" s="2">
        <f t="shared" ref="E41:E72" si="25">SCapital0-(X2e0/(TechB0*(MAX(SLab0-$A41,0)^(1-beta0))))^(1/beta0)</f>
        <v>17.775472511146404</v>
      </c>
      <c r="F41" s="2">
        <f t="shared" ref="F41:F72" si="26">(X1e1/(TechA1*($A41^(1-alpha1))))^(1/alpha1)</f>
        <v>32.691351773919578</v>
      </c>
      <c r="G41" s="2">
        <f t="shared" ref="G41:G72" si="27">SCapital1-(X2e1/(TechB1*((SLab1-$A41)^(1-beta1))))^(1/beta1)</f>
        <v>17.775472511146404</v>
      </c>
      <c r="H41" s="2">
        <f t="shared" si="18"/>
        <v>25.307692307692321</v>
      </c>
      <c r="I41" s="2">
        <f t="shared" si="19"/>
        <v>25.307692307692321</v>
      </c>
      <c r="M41" s="2">
        <f t="shared" si="20"/>
        <v>48.774973848503208</v>
      </c>
      <c r="N41" s="2">
        <f t="shared" si="21"/>
        <v>55.936584156545692</v>
      </c>
      <c r="O41" s="2">
        <f t="shared" si="22"/>
        <v>48.774973848503208</v>
      </c>
      <c r="P41" s="2">
        <f t="shared" si="23"/>
        <v>55.936584156545692</v>
      </c>
      <c r="Q41" s="1">
        <f t="shared" ref="Q41:Q72" si="28">(util0/(M41^gamma0))^(1/(1-gamma0))</f>
        <v>60.114886472250006</v>
      </c>
      <c r="R41" s="1">
        <f t="shared" ref="R41:R72" si="29">(util1/(O41^gamma1))^(1/(1-gamma1))</f>
        <v>60.114886472250006</v>
      </c>
    </row>
    <row r="42" spans="1:18" x14ac:dyDescent="0.25">
      <c r="A42" s="1">
        <v>34</v>
      </c>
      <c r="B42" s="2">
        <f t="shared" si="16"/>
        <v>64.324324324324323</v>
      </c>
      <c r="C42" s="2">
        <f t="shared" si="17"/>
        <v>64.324324324324323</v>
      </c>
      <c r="D42" s="2">
        <f t="shared" si="24"/>
        <v>32.047160892504003</v>
      </c>
      <c r="E42" s="2">
        <f t="shared" si="25"/>
        <v>14.83913255688276</v>
      </c>
      <c r="F42" s="2">
        <f t="shared" si="26"/>
        <v>32.047160892504003</v>
      </c>
      <c r="G42" s="2">
        <f t="shared" si="27"/>
        <v>14.83913255688276</v>
      </c>
      <c r="H42" s="2">
        <f t="shared" si="18"/>
        <v>23.743589743589752</v>
      </c>
      <c r="I42" s="2">
        <f t="shared" si="19"/>
        <v>23.743589743589752</v>
      </c>
      <c r="M42" s="2">
        <f t="shared" si="20"/>
        <v>49.844438338966597</v>
      </c>
      <c r="N42" s="2">
        <f t="shared" si="21"/>
        <v>54.877259738884561</v>
      </c>
      <c r="O42" s="2">
        <f t="shared" si="22"/>
        <v>49.844438338966597</v>
      </c>
      <c r="P42" s="2">
        <f t="shared" si="23"/>
        <v>54.877259738884561</v>
      </c>
      <c r="Q42" s="1">
        <f t="shared" si="28"/>
        <v>59.558675833828786</v>
      </c>
      <c r="R42" s="1">
        <f t="shared" si="29"/>
        <v>59.558675833828786</v>
      </c>
    </row>
    <row r="43" spans="1:18" x14ac:dyDescent="0.25">
      <c r="A43" s="1">
        <v>35</v>
      </c>
      <c r="B43" s="2">
        <f t="shared" si="16"/>
        <v>65.333333333333329</v>
      </c>
      <c r="C43" s="2">
        <f t="shared" si="17"/>
        <v>65.333333333333329</v>
      </c>
      <c r="D43" s="2">
        <f t="shared" si="24"/>
        <v>31.433794469757856</v>
      </c>
      <c r="E43" s="2">
        <f t="shared" si="25"/>
        <v>11.750667887775791</v>
      </c>
      <c r="F43" s="2">
        <f t="shared" si="26"/>
        <v>31.433794469757856</v>
      </c>
      <c r="G43" s="2">
        <f t="shared" si="27"/>
        <v>11.750667887775791</v>
      </c>
      <c r="H43" s="2">
        <f t="shared" si="18"/>
        <v>22.17948717948719</v>
      </c>
      <c r="I43" s="2">
        <f t="shared" si="19"/>
        <v>22.17948717948719</v>
      </c>
      <c r="M43" s="2">
        <f t="shared" si="20"/>
        <v>50.898866132505134</v>
      </c>
      <c r="N43" s="2">
        <f t="shared" si="21"/>
        <v>53.82858641563363</v>
      </c>
      <c r="O43" s="2">
        <f t="shared" si="22"/>
        <v>50.898866132505134</v>
      </c>
      <c r="P43" s="2">
        <f t="shared" si="23"/>
        <v>53.82858641563363</v>
      </c>
      <c r="Q43" s="1">
        <f t="shared" si="28"/>
        <v>59.026729211925854</v>
      </c>
      <c r="R43" s="1">
        <f t="shared" si="29"/>
        <v>59.026729211925854</v>
      </c>
    </row>
    <row r="44" spans="1:18" x14ac:dyDescent="0.25">
      <c r="A44" s="1">
        <v>36</v>
      </c>
      <c r="B44" s="2">
        <f t="shared" si="16"/>
        <v>66.31578947368422</v>
      </c>
      <c r="C44" s="2">
        <f t="shared" si="17"/>
        <v>66.31578947368422</v>
      </c>
      <c r="D44" s="2">
        <f t="shared" si="24"/>
        <v>30.848958403356548</v>
      </c>
      <c r="E44" s="2">
        <f t="shared" si="25"/>
        <v>8.499671457639792</v>
      </c>
      <c r="F44" s="2">
        <f t="shared" si="26"/>
        <v>30.848958403356548</v>
      </c>
      <c r="G44" s="2">
        <f t="shared" si="27"/>
        <v>8.499671457639792</v>
      </c>
      <c r="H44" s="2">
        <f t="shared" si="18"/>
        <v>20.615384615384627</v>
      </c>
      <c r="I44" s="2">
        <f t="shared" si="19"/>
        <v>20.615384615384627</v>
      </c>
      <c r="M44" s="2">
        <f t="shared" si="20"/>
        <v>51.938710949094393</v>
      </c>
      <c r="N44" s="2">
        <f t="shared" si="21"/>
        <v>52.790271271214451</v>
      </c>
      <c r="O44" s="2">
        <f t="shared" si="22"/>
        <v>51.938710949094393</v>
      </c>
      <c r="P44" s="2">
        <f t="shared" si="23"/>
        <v>52.790271271214451</v>
      </c>
      <c r="Q44" s="1">
        <f t="shared" si="28"/>
        <v>58.51733652971042</v>
      </c>
      <c r="R44" s="1">
        <f t="shared" si="29"/>
        <v>58.51733652971042</v>
      </c>
    </row>
    <row r="45" spans="1:18" x14ac:dyDescent="0.25">
      <c r="A45" s="1">
        <v>37</v>
      </c>
      <c r="B45" s="2">
        <f t="shared" si="16"/>
        <v>67.27272727272728</v>
      </c>
      <c r="C45" s="2">
        <f t="shared" si="17"/>
        <v>67.27272727272728</v>
      </c>
      <c r="D45" s="2">
        <f t="shared" si="24"/>
        <v>30.290586986141971</v>
      </c>
      <c r="E45" s="2">
        <f t="shared" si="25"/>
        <v>5.0748459325141795</v>
      </c>
      <c r="F45" s="2">
        <f t="shared" si="26"/>
        <v>30.290586986141971</v>
      </c>
      <c r="G45" s="2">
        <f t="shared" si="27"/>
        <v>5.0748459325141795</v>
      </c>
      <c r="H45" s="2">
        <f t="shared" si="18"/>
        <v>19.051282051282065</v>
      </c>
      <c r="I45" s="2">
        <f t="shared" si="19"/>
        <v>19.051282051282065</v>
      </c>
      <c r="M45" s="2">
        <f t="shared" si="20"/>
        <v>52.964406533102462</v>
      </c>
      <c r="N45" s="2">
        <f t="shared" si="21"/>
        <v>51.762033476934789</v>
      </c>
      <c r="O45" s="2">
        <f t="shared" si="22"/>
        <v>52.964406533102462</v>
      </c>
      <c r="P45" s="2">
        <f t="shared" si="23"/>
        <v>51.762033476934789</v>
      </c>
      <c r="Q45" s="1">
        <f t="shared" si="28"/>
        <v>58.028950708768804</v>
      </c>
      <c r="R45" s="1">
        <f t="shared" si="29"/>
        <v>58.028950708768804</v>
      </c>
    </row>
    <row r="46" spans="1:18" x14ac:dyDescent="0.25">
      <c r="A46" s="1">
        <v>38</v>
      </c>
      <c r="B46" s="2">
        <f t="shared" si="16"/>
        <v>68.205128205128204</v>
      </c>
      <c r="C46" s="2">
        <f t="shared" si="17"/>
        <v>68.205128205128204</v>
      </c>
      <c r="D46" s="2">
        <f t="shared" si="24"/>
        <v>29.756814730724543</v>
      </c>
      <c r="E46" s="2">
        <f t="shared" si="25"/>
        <v>1.4639117777150545</v>
      </c>
      <c r="F46" s="2">
        <f t="shared" si="26"/>
        <v>29.756814730724543</v>
      </c>
      <c r="G46" s="2">
        <f t="shared" si="27"/>
        <v>1.4639117777150545</v>
      </c>
      <c r="H46" s="2">
        <f t="shared" si="18"/>
        <v>17.487179487179496</v>
      </c>
      <c r="I46" s="2">
        <f t="shared" si="19"/>
        <v>17.487179487179496</v>
      </c>
      <c r="M46" s="2">
        <f t="shared" si="20"/>
        <v>53.976367791184998</v>
      </c>
      <c r="N46" s="2">
        <f t="shared" si="21"/>
        <v>50.743603637159893</v>
      </c>
      <c r="O46" s="2">
        <f t="shared" si="22"/>
        <v>53.976367791184998</v>
      </c>
      <c r="P46" s="2">
        <f t="shared" si="23"/>
        <v>50.743603637159893</v>
      </c>
      <c r="Q46" s="1">
        <f t="shared" si="28"/>
        <v>57.560168293098748</v>
      </c>
      <c r="R46" s="1">
        <f t="shared" si="29"/>
        <v>57.560168293098748</v>
      </c>
    </row>
    <row r="47" spans="1:18" x14ac:dyDescent="0.25">
      <c r="A47" s="1">
        <v>39</v>
      </c>
      <c r="B47" s="2">
        <f t="shared" si="16"/>
        <v>69.113924050632917</v>
      </c>
      <c r="C47" s="2">
        <f t="shared" si="17"/>
        <v>69.113924050632917</v>
      </c>
      <c r="D47" s="2">
        <f t="shared" si="24"/>
        <v>29.245952306062115</v>
      </c>
      <c r="E47" s="2">
        <f t="shared" si="25"/>
        <v>-2.3464958241731466</v>
      </c>
      <c r="F47" s="2">
        <f t="shared" si="26"/>
        <v>29.245952306062115</v>
      </c>
      <c r="G47" s="2">
        <f t="shared" si="27"/>
        <v>-2.3464958241731466</v>
      </c>
      <c r="H47" s="2">
        <f t="shared" si="18"/>
        <v>15.923076923076934</v>
      </c>
      <c r="I47" s="2">
        <f t="shared" si="19"/>
        <v>15.923076923076934</v>
      </c>
      <c r="M47" s="2">
        <f t="shared" si="20"/>
        <v>54.974991851286774</v>
      </c>
      <c r="N47" s="2">
        <f t="shared" si="21"/>
        <v>49.734723178894093</v>
      </c>
      <c r="O47" s="2">
        <f t="shared" si="22"/>
        <v>54.974991851286774</v>
      </c>
      <c r="P47" s="2">
        <f t="shared" si="23"/>
        <v>49.734723178894093</v>
      </c>
      <c r="Q47" s="1">
        <f t="shared" si="28"/>
        <v>57.109712811302813</v>
      </c>
      <c r="R47" s="1">
        <f t="shared" si="29"/>
        <v>57.109712811302813</v>
      </c>
    </row>
    <row r="48" spans="1:18" x14ac:dyDescent="0.25">
      <c r="A48" s="1">
        <v>40</v>
      </c>
      <c r="B48" s="2">
        <f t="shared" si="16"/>
        <v>70</v>
      </c>
      <c r="C48" s="2">
        <f t="shared" si="17"/>
        <v>70</v>
      </c>
      <c r="D48" s="2">
        <f t="shared" si="24"/>
        <v>28.756465897718371</v>
      </c>
      <c r="E48" s="2">
        <f t="shared" si="25"/>
        <v>-6.3709427926200846</v>
      </c>
      <c r="F48" s="2">
        <f t="shared" si="26"/>
        <v>28.756465897718371</v>
      </c>
      <c r="G48" s="2">
        <f t="shared" si="27"/>
        <v>-6.3709427926200846</v>
      </c>
      <c r="H48" s="2">
        <f t="shared" si="18"/>
        <v>14.358974358974372</v>
      </c>
      <c r="I48" s="2">
        <f t="shared" si="19"/>
        <v>14.358974358974372</v>
      </c>
      <c r="M48" s="2">
        <f t="shared" si="20"/>
        <v>55.960659049160661</v>
      </c>
      <c r="N48" s="2">
        <f t="shared" si="21"/>
        <v>48.735143781374113</v>
      </c>
      <c r="O48" s="2">
        <f t="shared" si="22"/>
        <v>55.960659049160661</v>
      </c>
      <c r="P48" s="2">
        <f t="shared" si="23"/>
        <v>48.735143781374113</v>
      </c>
      <c r="Q48" s="1">
        <f t="shared" si="28"/>
        <v>56.676420431403102</v>
      </c>
      <c r="R48" s="1">
        <f t="shared" si="29"/>
        <v>56.676420431403102</v>
      </c>
    </row>
    <row r="49" spans="1:18" x14ac:dyDescent="0.25">
      <c r="A49" s="1">
        <v>41</v>
      </c>
      <c r="B49" s="2">
        <f t="shared" si="16"/>
        <v>70.864197530864203</v>
      </c>
      <c r="C49" s="2">
        <f t="shared" si="17"/>
        <v>70.864197530864203</v>
      </c>
      <c r="D49" s="2">
        <f t="shared" si="24"/>
        <v>28.286959432754404</v>
      </c>
      <c r="E49" s="2">
        <f t="shared" si="25"/>
        <v>-10.625326524887399</v>
      </c>
      <c r="F49" s="2">
        <f t="shared" si="26"/>
        <v>28.286959432754404</v>
      </c>
      <c r="G49" s="2">
        <f t="shared" si="27"/>
        <v>-10.625326524887399</v>
      </c>
      <c r="H49" s="2">
        <f t="shared" si="18"/>
        <v>12.79487179487181</v>
      </c>
      <c r="I49" s="2">
        <f t="shared" si="19"/>
        <v>12.79487179487181</v>
      </c>
      <c r="M49" s="2">
        <f t="shared" si="20"/>
        <v>56.933733848220612</v>
      </c>
      <c r="N49" s="2">
        <f t="shared" si="21"/>
        <v>47.744626842580686</v>
      </c>
      <c r="O49" s="2">
        <f t="shared" si="22"/>
        <v>56.933733848220612</v>
      </c>
      <c r="P49" s="2">
        <f t="shared" si="23"/>
        <v>47.744626842580686</v>
      </c>
      <c r="Q49" s="1">
        <f t="shared" si="28"/>
        <v>56.259227544305574</v>
      </c>
      <c r="R49" s="1">
        <f t="shared" si="29"/>
        <v>56.259227544305574</v>
      </c>
    </row>
    <row r="50" spans="1:18" x14ac:dyDescent="0.25">
      <c r="A50" s="1">
        <v>42</v>
      </c>
      <c r="B50" s="2">
        <f t="shared" si="16"/>
        <v>71.707317073170728</v>
      </c>
      <c r="C50" s="2">
        <f t="shared" si="17"/>
        <v>71.707317073170728</v>
      </c>
      <c r="D50" s="2">
        <f t="shared" si="24"/>
        <v>27.836159212677646</v>
      </c>
      <c r="E50" s="2">
        <f t="shared" si="25"/>
        <v>-15.127022943315168</v>
      </c>
      <c r="F50" s="2">
        <f t="shared" si="26"/>
        <v>27.836159212677646</v>
      </c>
      <c r="G50" s="2">
        <f t="shared" si="27"/>
        <v>-15.127022943315168</v>
      </c>
      <c r="H50" s="2">
        <f t="shared" si="18"/>
        <v>11.230769230769241</v>
      </c>
      <c r="I50" s="2">
        <f t="shared" si="19"/>
        <v>11.230769230769241</v>
      </c>
      <c r="M50" s="2">
        <f t="shared" si="20"/>
        <v>57.894565698011668</v>
      </c>
      <c r="N50" s="2">
        <f t="shared" si="21"/>
        <v>46.762942979849761</v>
      </c>
      <c r="O50" s="2">
        <f t="shared" si="22"/>
        <v>57.894565698011668</v>
      </c>
      <c r="P50" s="2">
        <f t="shared" si="23"/>
        <v>46.762942979849761</v>
      </c>
      <c r="Q50" s="1">
        <f t="shared" si="28"/>
        <v>55.857159977012515</v>
      </c>
      <c r="R50" s="1">
        <f t="shared" si="29"/>
        <v>55.857159977012515</v>
      </c>
    </row>
    <row r="51" spans="1:18" x14ac:dyDescent="0.25">
      <c r="A51" s="1">
        <v>43</v>
      </c>
      <c r="B51" s="2">
        <f t="shared" si="16"/>
        <v>72.53012048192771</v>
      </c>
      <c r="C51" s="2">
        <f t="shared" si="17"/>
        <v>72.53012048192771</v>
      </c>
      <c r="D51" s="2">
        <f t="shared" si="24"/>
        <v>27.402900579606069</v>
      </c>
      <c r="E51" s="2">
        <f t="shared" si="25"/>
        <v>-19.895052679609449</v>
      </c>
      <c r="F51" s="2">
        <f t="shared" si="26"/>
        <v>27.402900579606069</v>
      </c>
      <c r="G51" s="2">
        <f t="shared" si="27"/>
        <v>-19.895052679609449</v>
      </c>
      <c r="H51" s="2">
        <f t="shared" si="18"/>
        <v>9.6666666666666714</v>
      </c>
      <c r="I51" s="2">
        <f t="shared" si="19"/>
        <v>9.6666666666666714</v>
      </c>
      <c r="M51" s="2">
        <f t="shared" si="20"/>
        <v>58.843489836101405</v>
      </c>
      <c r="N51" s="2">
        <f t="shared" si="21"/>
        <v>45.789871562011761</v>
      </c>
      <c r="O51" s="2">
        <f t="shared" si="22"/>
        <v>58.843489836101405</v>
      </c>
      <c r="P51" s="2">
        <f t="shared" si="23"/>
        <v>45.789871562011761</v>
      </c>
      <c r="Q51" s="1">
        <f t="shared" si="28"/>
        <v>55.469323588874467</v>
      </c>
      <c r="R51" s="1">
        <f t="shared" si="29"/>
        <v>55.469323588874467</v>
      </c>
    </row>
    <row r="52" spans="1:18" x14ac:dyDescent="0.25">
      <c r="A52" s="1">
        <v>44</v>
      </c>
      <c r="B52" s="2">
        <f t="shared" si="16"/>
        <v>73.333333333333329</v>
      </c>
      <c r="C52" s="2">
        <f t="shared" si="17"/>
        <v>73.333333333333329</v>
      </c>
      <c r="D52" s="2">
        <f t="shared" si="24"/>
        <v>26.986116306376186</v>
      </c>
      <c r="E52" s="2">
        <f t="shared" si="25"/>
        <v>-24.950269277307896</v>
      </c>
      <c r="F52" s="2">
        <f t="shared" si="26"/>
        <v>26.986116306376186</v>
      </c>
      <c r="G52" s="2">
        <f t="shared" si="27"/>
        <v>-24.950269277307896</v>
      </c>
      <c r="H52" s="2">
        <f t="shared" si="18"/>
        <v>8.1025641025641164</v>
      </c>
      <c r="I52" s="2">
        <f t="shared" si="19"/>
        <v>8.1025641025641164</v>
      </c>
      <c r="M52" s="2">
        <f t="shared" si="20"/>
        <v>59.780828037767655</v>
      </c>
      <c r="N52" s="2">
        <f t="shared" si="21"/>
        <v>44.82520027070926</v>
      </c>
      <c r="O52" s="2">
        <f t="shared" si="22"/>
        <v>59.780828037767655</v>
      </c>
      <c r="P52" s="2">
        <f t="shared" si="23"/>
        <v>44.82520027070926</v>
      </c>
      <c r="Q52" s="1">
        <f t="shared" si="28"/>
        <v>55.094896046272019</v>
      </c>
      <c r="R52" s="1">
        <f t="shared" si="29"/>
        <v>55.094896046272019</v>
      </c>
    </row>
    <row r="53" spans="1:18" x14ac:dyDescent="0.25">
      <c r="A53" s="1">
        <v>45</v>
      </c>
      <c r="B53" s="2">
        <f t="shared" si="16"/>
        <v>74.117647058823522</v>
      </c>
      <c r="C53" s="2">
        <f t="shared" si="17"/>
        <v>74.117647058823522</v>
      </c>
      <c r="D53" s="2">
        <f t="shared" si="24"/>
        <v>26.584826454216763</v>
      </c>
      <c r="E53" s="2">
        <f t="shared" si="25"/>
        <v>-30.315572788332048</v>
      </c>
      <c r="F53" s="2">
        <f t="shared" si="26"/>
        <v>26.584826454216763</v>
      </c>
      <c r="G53" s="2">
        <f t="shared" si="27"/>
        <v>-30.315572788332048</v>
      </c>
      <c r="H53" s="2">
        <f t="shared" si="18"/>
        <v>6.5384615384615472</v>
      </c>
      <c r="I53" s="2">
        <f t="shared" si="19"/>
        <v>6.5384615384615472</v>
      </c>
      <c r="M53" s="2">
        <f t="shared" si="20"/>
        <v>60.706889317470647</v>
      </c>
      <c r="N53" s="2">
        <f t="shared" si="21"/>
        <v>43.868724688745885</v>
      </c>
      <c r="O53" s="2">
        <f t="shared" si="22"/>
        <v>60.706889317470647</v>
      </c>
      <c r="P53" s="2">
        <f t="shared" si="23"/>
        <v>43.868724688745885</v>
      </c>
      <c r="Q53" s="1">
        <f t="shared" si="28"/>
        <v>54.733119605255325</v>
      </c>
      <c r="R53" s="1">
        <f t="shared" si="29"/>
        <v>54.733119605255325</v>
      </c>
    </row>
    <row r="54" spans="1:18" x14ac:dyDescent="0.25">
      <c r="A54" s="1">
        <v>46</v>
      </c>
      <c r="B54" s="2">
        <f t="shared" si="16"/>
        <v>74.883720930232556</v>
      </c>
      <c r="C54" s="2">
        <f t="shared" si="17"/>
        <v>74.883720930232556</v>
      </c>
      <c r="D54" s="2">
        <f t="shared" si="24"/>
        <v>26.198129484501102</v>
      </c>
      <c r="E54" s="2">
        <f t="shared" si="25"/>
        <v>-36.016152730118051</v>
      </c>
      <c r="F54" s="2">
        <f t="shared" si="26"/>
        <v>26.198129484501102</v>
      </c>
      <c r="G54" s="2">
        <f t="shared" si="27"/>
        <v>-36.016152730118051</v>
      </c>
      <c r="H54" s="2">
        <f t="shared" si="18"/>
        <v>4.9743589743589922</v>
      </c>
      <c r="I54" s="2">
        <f t="shared" si="19"/>
        <v>4.9743589743589922</v>
      </c>
      <c r="M54" s="2">
        <f t="shared" si="20"/>
        <v>61.621970585748869</v>
      </c>
      <c r="N54" s="2">
        <f t="shared" si="21"/>
        <v>42.920247913499132</v>
      </c>
      <c r="O54" s="2">
        <f t="shared" si="22"/>
        <v>61.621970585748869</v>
      </c>
      <c r="P54" s="2">
        <f t="shared" si="23"/>
        <v>42.920247913499132</v>
      </c>
      <c r="Q54" s="1">
        <f t="shared" si="28"/>
        <v>54.383294759495662</v>
      </c>
      <c r="R54" s="1">
        <f t="shared" si="29"/>
        <v>54.383294759495662</v>
      </c>
    </row>
    <row r="55" spans="1:18" x14ac:dyDescent="0.25">
      <c r="A55" s="1">
        <v>47</v>
      </c>
      <c r="B55" s="2">
        <f t="shared" si="16"/>
        <v>75.632183908045974</v>
      </c>
      <c r="C55" s="2">
        <f t="shared" si="17"/>
        <v>75.632183908045974</v>
      </c>
      <c r="D55" s="2">
        <f t="shared" si="24"/>
        <v>25.825194446042246</v>
      </c>
      <c r="E55" s="2">
        <f t="shared" si="25"/>
        <v>-42.079765076929789</v>
      </c>
      <c r="F55" s="2">
        <f t="shared" si="26"/>
        <v>25.825194446042246</v>
      </c>
      <c r="G55" s="2">
        <f t="shared" si="27"/>
        <v>-42.079765076929789</v>
      </c>
      <c r="H55" s="2">
        <f t="shared" si="18"/>
        <v>3.410256410256423</v>
      </c>
      <c r="I55" s="2">
        <f t="shared" si="19"/>
        <v>3.410256410256423</v>
      </c>
      <c r="M55" s="2">
        <f t="shared" si="20"/>
        <v>62.526357264864735</v>
      </c>
      <c r="N55" s="2">
        <f t="shared" si="21"/>
        <v>41.979580193595631</v>
      </c>
      <c r="O55" s="2">
        <f t="shared" si="22"/>
        <v>62.526357264864735</v>
      </c>
      <c r="P55" s="2">
        <f t="shared" si="23"/>
        <v>41.979580193595631</v>
      </c>
      <c r="Q55" s="1">
        <f t="shared" si="28"/>
        <v>54.044774633686231</v>
      </c>
      <c r="R55" s="1">
        <f t="shared" si="29"/>
        <v>54.044774633686231</v>
      </c>
    </row>
    <row r="56" spans="1:18" x14ac:dyDescent="0.25">
      <c r="A56" s="1">
        <v>48</v>
      </c>
      <c r="B56" s="2">
        <f t="shared" si="16"/>
        <v>76.363636363636374</v>
      </c>
      <c r="C56" s="2">
        <f t="shared" si="17"/>
        <v>76.363636363636374</v>
      </c>
      <c r="D56" s="2">
        <f t="shared" si="24"/>
        <v>25.465254088014952</v>
      </c>
      <c r="E56" s="2">
        <f t="shared" si="25"/>
        <v>-48.53704880837526</v>
      </c>
      <c r="F56" s="2">
        <f t="shared" si="26"/>
        <v>25.465254088014952</v>
      </c>
      <c r="G56" s="2">
        <f t="shared" si="27"/>
        <v>-48.53704880837526</v>
      </c>
      <c r="H56" s="2">
        <f t="shared" si="18"/>
        <v>1.8461538461538538</v>
      </c>
      <c r="I56" s="2">
        <f t="shared" si="19"/>
        <v>1.8461538461538538</v>
      </c>
      <c r="M56" s="2">
        <f t="shared" si="20"/>
        <v>63.420323866240942</v>
      </c>
      <c r="N56" s="2">
        <f t="shared" si="21"/>
        <v>41.046538587195357</v>
      </c>
      <c r="O56" s="2">
        <f t="shared" si="22"/>
        <v>63.420323866240942</v>
      </c>
      <c r="P56" s="2">
        <f t="shared" si="23"/>
        <v>41.046538587195357</v>
      </c>
      <c r="Q56" s="1">
        <f t="shared" si="28"/>
        <v>53.716960021282937</v>
      </c>
      <c r="R56" s="1">
        <f t="shared" si="29"/>
        <v>53.716960021282937</v>
      </c>
    </row>
    <row r="57" spans="1:18" x14ac:dyDescent="0.25">
      <c r="A57" s="1">
        <v>49</v>
      </c>
      <c r="B57" s="2">
        <f t="shared" si="16"/>
        <v>77.078651685393254</v>
      </c>
      <c r="C57" s="2">
        <f t="shared" si="17"/>
        <v>77.078651685393254</v>
      </c>
      <c r="D57" s="2">
        <f t="shared" si="24"/>
        <v>25.117598772126779</v>
      </c>
      <c r="E57" s="2">
        <f t="shared" si="25"/>
        <v>-55.421888561851489</v>
      </c>
      <c r="F57" s="2">
        <f t="shared" si="26"/>
        <v>25.117598772126779</v>
      </c>
      <c r="G57" s="2">
        <f t="shared" si="27"/>
        <v>-55.421888561851489</v>
      </c>
      <c r="H57" s="2">
        <f t="shared" si="18"/>
        <v>0.28205128205129881</v>
      </c>
      <c r="I57" s="2">
        <f t="shared" si="19"/>
        <v>0.28205128205129881</v>
      </c>
      <c r="M57" s="2">
        <f t="shared" si="20"/>
        <v>64.304134532473384</v>
      </c>
      <c r="N57" s="2">
        <f t="shared" si="21"/>
        <v>40.120946640366526</v>
      </c>
      <c r="O57" s="2">
        <f t="shared" si="22"/>
        <v>64.304134532473384</v>
      </c>
      <c r="P57" s="2">
        <f t="shared" si="23"/>
        <v>40.120946640366526</v>
      </c>
      <c r="Q57" s="1">
        <f t="shared" si="28"/>
        <v>53.399294980964051</v>
      </c>
      <c r="R57" s="1">
        <f t="shared" si="29"/>
        <v>53.399294980964051</v>
      </c>
    </row>
    <row r="58" spans="1:18" x14ac:dyDescent="0.25">
      <c r="A58" s="1">
        <v>50</v>
      </c>
      <c r="B58" s="2">
        <f t="shared" si="16"/>
        <v>77.777777777777771</v>
      </c>
      <c r="C58" s="2">
        <f t="shared" si="17"/>
        <v>77.777777777777771</v>
      </c>
      <c r="D58" s="2">
        <f t="shared" si="24"/>
        <v>24.781571077105326</v>
      </c>
      <c r="E58" s="2">
        <f t="shared" si="25"/>
        <v>-62.771831173679601</v>
      </c>
      <c r="F58" s="2">
        <f t="shared" si="26"/>
        <v>24.781571077105326</v>
      </c>
      <c r="G58" s="2">
        <f t="shared" si="27"/>
        <v>-62.771831173679601</v>
      </c>
      <c r="H58" s="2">
        <f t="shared" si="18"/>
        <v>-1.2820512820512704</v>
      </c>
      <c r="I58" s="2">
        <f t="shared" si="19"/>
        <v>-1.2820512820512704</v>
      </c>
      <c r="M58" s="2">
        <f t="shared" si="20"/>
        <v>65.178043546472722</v>
      </c>
      <c r="N58" s="2">
        <f t="shared" si="21"/>
        <v>39.202634084155783</v>
      </c>
      <c r="O58" s="2">
        <f t="shared" si="22"/>
        <v>65.178043546472722</v>
      </c>
      <c r="P58" s="2">
        <f t="shared" si="23"/>
        <v>39.202634084155783</v>
      </c>
      <c r="Q58" s="1">
        <f t="shared" si="28"/>
        <v>53.091262919048248</v>
      </c>
      <c r="R58" s="1">
        <f t="shared" si="29"/>
        <v>53.091262919048248</v>
      </c>
    </row>
    <row r="59" spans="1:18" x14ac:dyDescent="0.25">
      <c r="A59" s="1">
        <v>51</v>
      </c>
      <c r="B59" s="2">
        <f t="shared" si="16"/>
        <v>78.461538461538467</v>
      </c>
      <c r="C59" s="2">
        <f t="shared" si="17"/>
        <v>78.461538461538467</v>
      </c>
      <c r="D59" s="2">
        <f t="shared" si="24"/>
        <v>24.456561004698312</v>
      </c>
      <c r="E59" s="2">
        <f t="shared" si="25"/>
        <v>-70.628565396286348</v>
      </c>
      <c r="F59" s="2">
        <f t="shared" si="26"/>
        <v>24.456561004698312</v>
      </c>
      <c r="G59" s="2">
        <f t="shared" si="27"/>
        <v>-70.628565396286348</v>
      </c>
      <c r="H59" s="2">
        <f t="shared" si="18"/>
        <v>-2.8461538461538396</v>
      </c>
      <c r="I59" s="2">
        <f t="shared" si="19"/>
        <v>-2.8461538461538396</v>
      </c>
      <c r="M59" s="2">
        <f t="shared" si="20"/>
        <v>66.042295810077377</v>
      </c>
      <c r="N59" s="2">
        <f t="shared" si="21"/>
        <v>38.291436549069282</v>
      </c>
      <c r="O59" s="2">
        <f t="shared" si="22"/>
        <v>66.042295810077377</v>
      </c>
      <c r="P59" s="2">
        <f t="shared" si="23"/>
        <v>38.291436549069282</v>
      </c>
      <c r="Q59" s="1">
        <f t="shared" si="28"/>
        <v>52.792383095820369</v>
      </c>
      <c r="R59" s="1">
        <f t="shared" si="29"/>
        <v>52.792383095820369</v>
      </c>
    </row>
    <row r="60" spans="1:18" x14ac:dyDescent="0.25">
      <c r="A60" s="1">
        <v>52</v>
      </c>
      <c r="B60" s="2">
        <f t="shared" si="16"/>
        <v>79.130434782608688</v>
      </c>
      <c r="C60" s="2">
        <f t="shared" si="17"/>
        <v>79.130434782608688</v>
      </c>
      <c r="D60" s="2">
        <f t="shared" si="24"/>
        <v>24.142001709814785</v>
      </c>
      <c r="E60" s="2">
        <f t="shared" si="25"/>
        <v>-79.038475909232233</v>
      </c>
      <c r="F60" s="2">
        <f t="shared" si="26"/>
        <v>24.142001709814785</v>
      </c>
      <c r="G60" s="2">
        <f t="shared" si="27"/>
        <v>-79.038475909232233</v>
      </c>
      <c r="H60" s="2">
        <f t="shared" si="18"/>
        <v>-4.4102564102563946</v>
      </c>
      <c r="I60" s="2">
        <f t="shared" si="19"/>
        <v>-4.4102564102563946</v>
      </c>
      <c r="M60" s="2">
        <f t="shared" si="20"/>
        <v>66.897127294288836</v>
      </c>
      <c r="N60" s="2">
        <f t="shared" si="21"/>
        <v>37.387195295782142</v>
      </c>
      <c r="O60" s="2">
        <f t="shared" si="22"/>
        <v>66.897127294288836</v>
      </c>
      <c r="P60" s="2">
        <f t="shared" si="23"/>
        <v>37.387195295782142</v>
      </c>
      <c r="Q60" s="1">
        <f t="shared" si="28"/>
        <v>52.502207502675716</v>
      </c>
      <c r="R60" s="1">
        <f t="shared" si="29"/>
        <v>52.502207502675716</v>
      </c>
    </row>
    <row r="61" spans="1:18" x14ac:dyDescent="0.25">
      <c r="A61" s="1">
        <v>53</v>
      </c>
      <c r="B61" s="2">
        <f t="shared" si="16"/>
        <v>79.784946236559151</v>
      </c>
      <c r="C61" s="2">
        <f t="shared" si="17"/>
        <v>79.784946236559151</v>
      </c>
      <c r="D61" s="2">
        <f t="shared" si="24"/>
        <v>23.837365688664271</v>
      </c>
      <c r="E61" s="2">
        <f t="shared" si="25"/>
        <v>-88.053284980367863</v>
      </c>
      <c r="F61" s="2">
        <f t="shared" si="26"/>
        <v>23.837365688664271</v>
      </c>
      <c r="G61" s="2">
        <f t="shared" si="27"/>
        <v>-88.053284980367863</v>
      </c>
      <c r="H61" s="2">
        <f t="shared" si="18"/>
        <v>-5.9743589743589638</v>
      </c>
      <c r="I61" s="2">
        <f t="shared" si="19"/>
        <v>-5.9743589743589638</v>
      </c>
      <c r="M61" s="2">
        <f t="shared" si="20"/>
        <v>67.742765463107119</v>
      </c>
      <c r="N61" s="2">
        <f t="shared" si="21"/>
        <v>36.489756960985432</v>
      </c>
      <c r="O61" s="2">
        <f t="shared" si="22"/>
        <v>67.742765463107119</v>
      </c>
      <c r="P61" s="2">
        <f t="shared" si="23"/>
        <v>36.489756960985432</v>
      </c>
      <c r="Q61" s="1">
        <f t="shared" si="28"/>
        <v>52.220318064513457</v>
      </c>
      <c r="R61" s="1">
        <f t="shared" si="29"/>
        <v>52.220318064513457</v>
      </c>
    </row>
    <row r="62" spans="1:18" x14ac:dyDescent="0.25">
      <c r="A62" s="1">
        <v>54</v>
      </c>
      <c r="B62" s="2">
        <f t="shared" si="16"/>
        <v>80.425531914893625</v>
      </c>
      <c r="C62" s="2">
        <f t="shared" si="17"/>
        <v>80.425531914893625</v>
      </c>
      <c r="D62" s="2">
        <f t="shared" si="24"/>
        <v>23.542161368171683</v>
      </c>
      <c r="E62" s="2">
        <f t="shared" si="25"/>
        <v>-97.730797881809366</v>
      </c>
      <c r="F62" s="2">
        <f t="shared" si="26"/>
        <v>23.542161368171683</v>
      </c>
      <c r="G62" s="2">
        <f t="shared" si="27"/>
        <v>-97.730797881809366</v>
      </c>
      <c r="H62" s="2">
        <f t="shared" si="18"/>
        <v>-7.538461538461533</v>
      </c>
      <c r="I62" s="2">
        <f t="shared" si="19"/>
        <v>-7.538461538461533</v>
      </c>
      <c r="M62" s="2">
        <f t="shared" si="20"/>
        <v>68.579429672786134</v>
      </c>
      <c r="N62" s="2">
        <f t="shared" si="21"/>
        <v>35.598973317365449</v>
      </c>
      <c r="O62" s="2">
        <f t="shared" si="22"/>
        <v>68.579429672786134</v>
      </c>
      <c r="P62" s="2">
        <f t="shared" si="23"/>
        <v>35.598973317365449</v>
      </c>
      <c r="Q62" s="1">
        <f t="shared" si="28"/>
        <v>51.946324128149058</v>
      </c>
      <c r="R62" s="1">
        <f t="shared" si="29"/>
        <v>51.946324128149058</v>
      </c>
    </row>
    <row r="63" spans="1:18" x14ac:dyDescent="0.25">
      <c r="A63" s="1">
        <v>55</v>
      </c>
      <c r="B63" s="2">
        <f t="shared" si="16"/>
        <v>81.052631578947384</v>
      </c>
      <c r="C63" s="2">
        <f t="shared" si="17"/>
        <v>81.052631578947384</v>
      </c>
      <c r="D63" s="2">
        <f t="shared" si="24"/>
        <v>23.255930047876777</v>
      </c>
      <c r="E63" s="2">
        <f t="shared" si="25"/>
        <v>-108.13577155411167</v>
      </c>
      <c r="F63" s="2">
        <f t="shared" si="26"/>
        <v>23.255930047876777</v>
      </c>
      <c r="G63" s="2">
        <f t="shared" si="27"/>
        <v>-108.13577155411167</v>
      </c>
      <c r="H63" s="2">
        <f t="shared" si="18"/>
        <v>-9.102564102564088</v>
      </c>
      <c r="I63" s="2">
        <f t="shared" si="19"/>
        <v>-9.102564102564088</v>
      </c>
      <c r="M63" s="2">
        <f t="shared" si="20"/>
        <v>69.407331548184999</v>
      </c>
      <c r="N63" s="2">
        <f t="shared" si="21"/>
        <v>34.714701046784839</v>
      </c>
      <c r="O63" s="2">
        <f t="shared" si="22"/>
        <v>69.407331548184999</v>
      </c>
      <c r="P63" s="2">
        <f t="shared" si="23"/>
        <v>34.714701046784839</v>
      </c>
      <c r="Q63" s="1">
        <f t="shared" si="28"/>
        <v>51.67986020286871</v>
      </c>
      <c r="R63" s="1">
        <f t="shared" si="29"/>
        <v>51.67986020286871</v>
      </c>
    </row>
    <row r="64" spans="1:18" x14ac:dyDescent="0.25">
      <c r="A64" s="1">
        <v>56</v>
      </c>
      <c r="B64" s="2">
        <f t="shared" si="16"/>
        <v>81.666666666666671</v>
      </c>
      <c r="C64" s="2">
        <f t="shared" si="17"/>
        <v>81.666666666666671</v>
      </c>
      <c r="D64" s="2">
        <f t="shared" si="24"/>
        <v>22.978243152227368</v>
      </c>
      <c r="E64" s="2">
        <f t="shared" si="25"/>
        <v>-119.34093020824827</v>
      </c>
      <c r="F64" s="2">
        <f t="shared" si="26"/>
        <v>22.978243152227368</v>
      </c>
      <c r="G64" s="2">
        <f t="shared" si="27"/>
        <v>-119.34093020824827</v>
      </c>
      <c r="H64" s="2">
        <f t="shared" si="18"/>
        <v>-10.666666666666657</v>
      </c>
      <c r="I64" s="2">
        <f t="shared" si="19"/>
        <v>-10.666666666666657</v>
      </c>
      <c r="M64" s="2">
        <f t="shared" si="20"/>
        <v>70.226675337761009</v>
      </c>
      <c r="N64" s="2">
        <f t="shared" si="21"/>
        <v>33.836801525807992</v>
      </c>
      <c r="O64" s="2">
        <f t="shared" si="22"/>
        <v>70.226675337761009</v>
      </c>
      <c r="P64" s="2">
        <f t="shared" si="23"/>
        <v>33.836801525807992</v>
      </c>
      <c r="Q64" s="1">
        <f t="shared" si="28"/>
        <v>51.420583923794489</v>
      </c>
      <c r="R64" s="1">
        <f t="shared" si="29"/>
        <v>51.420583923794489</v>
      </c>
    </row>
    <row r="65" spans="1:18" x14ac:dyDescent="0.25">
      <c r="A65" s="1">
        <v>57</v>
      </c>
      <c r="B65" s="2">
        <f t="shared" si="16"/>
        <v>82.268041237113408</v>
      </c>
      <c r="C65" s="2">
        <f t="shared" si="17"/>
        <v>82.268041237113408</v>
      </c>
      <c r="D65" s="2">
        <f t="shared" si="24"/>
        <v>22.708699756854127</v>
      </c>
      <c r="E65" s="2">
        <f t="shared" si="25"/>
        <v>-131.42815677491262</v>
      </c>
      <c r="F65" s="2">
        <f t="shared" si="26"/>
        <v>22.708699756854127</v>
      </c>
      <c r="G65" s="2">
        <f t="shared" si="27"/>
        <v>-131.42815677491262</v>
      </c>
      <c r="H65" s="2">
        <f t="shared" si="18"/>
        <v>-12.230769230769226</v>
      </c>
      <c r="I65" s="2">
        <f t="shared" si="19"/>
        <v>-12.230769230769226</v>
      </c>
      <c r="M65" s="2">
        <f t="shared" si="20"/>
        <v>71.037658248629356</v>
      </c>
      <c r="N65" s="2">
        <f t="shared" si="21"/>
        <v>32.965140622774889</v>
      </c>
      <c r="O65" s="2">
        <f t="shared" si="22"/>
        <v>71.037658248629356</v>
      </c>
      <c r="P65" s="2">
        <f t="shared" si="23"/>
        <v>32.965140622774889</v>
      </c>
      <c r="Q65" s="1">
        <f t="shared" si="28"/>
        <v>51.168174212592355</v>
      </c>
      <c r="R65" s="1">
        <f t="shared" si="29"/>
        <v>51.168174212592355</v>
      </c>
    </row>
    <row r="66" spans="1:18" x14ac:dyDescent="0.25">
      <c r="A66" s="1">
        <v>58</v>
      </c>
      <c r="B66" s="2">
        <f t="shared" si="16"/>
        <v>82.857142857142861</v>
      </c>
      <c r="C66" s="2">
        <f t="shared" si="17"/>
        <v>82.857142857142861</v>
      </c>
      <c r="D66" s="2">
        <f t="shared" si="24"/>
        <v>22.446924357241613</v>
      </c>
      <c r="E66" s="2">
        <f t="shared" si="25"/>
        <v>-144.48989563464559</v>
      </c>
      <c r="F66" s="2">
        <f t="shared" si="26"/>
        <v>22.446924357241613</v>
      </c>
      <c r="G66" s="2">
        <f t="shared" si="27"/>
        <v>-144.48989563464559</v>
      </c>
      <c r="H66" s="2">
        <f t="shared" si="18"/>
        <v>-13.794871794871781</v>
      </c>
      <c r="I66" s="2">
        <f t="shared" si="19"/>
        <v>-13.794871794871781</v>
      </c>
      <c r="M66" s="2">
        <f t="shared" si="20"/>
        <v>71.840470763007389</v>
      </c>
      <c r="N66" s="2">
        <f t="shared" si="21"/>
        <v>32.099588505688594</v>
      </c>
      <c r="O66" s="2">
        <f t="shared" si="22"/>
        <v>71.840470763007389</v>
      </c>
      <c r="P66" s="2">
        <f t="shared" si="23"/>
        <v>32.099588505688594</v>
      </c>
      <c r="Q66" s="1">
        <f t="shared" si="28"/>
        <v>50.922329613352431</v>
      </c>
      <c r="R66" s="1">
        <f t="shared" si="29"/>
        <v>50.922329613352431</v>
      </c>
    </row>
    <row r="67" spans="1:18" x14ac:dyDescent="0.25">
      <c r="A67" s="1">
        <v>59</v>
      </c>
      <c r="B67" s="2">
        <f t="shared" si="16"/>
        <v>83.434343434343432</v>
      </c>
      <c r="C67" s="2">
        <f t="shared" si="17"/>
        <v>83.434343434343432</v>
      </c>
      <c r="D67" s="2">
        <f t="shared" si="24"/>
        <v>22.192564852327148</v>
      </c>
      <c r="E67" s="2">
        <f t="shared" si="25"/>
        <v>-158.63081025659818</v>
      </c>
      <c r="F67" s="2">
        <f t="shared" si="26"/>
        <v>22.192564852327148</v>
      </c>
      <c r="G67" s="2">
        <f t="shared" si="27"/>
        <v>-158.63081025659818</v>
      </c>
      <c r="H67" s="2">
        <f t="shared" si="18"/>
        <v>-15.358974358974351</v>
      </c>
      <c r="I67" s="2">
        <f t="shared" si="19"/>
        <v>-15.358974358974351</v>
      </c>
      <c r="M67" s="2">
        <f t="shared" si="20"/>
        <v>72.635296937259156</v>
      </c>
      <c r="N67" s="2">
        <f t="shared" si="21"/>
        <v>31.240019460233874</v>
      </c>
      <c r="O67" s="2">
        <f t="shared" si="22"/>
        <v>72.635296937259156</v>
      </c>
      <c r="P67" s="2">
        <f t="shared" si="23"/>
        <v>31.240019460233874</v>
      </c>
      <c r="Q67" s="1">
        <f t="shared" si="28"/>
        <v>50.682766784294934</v>
      </c>
      <c r="R67" s="1">
        <f t="shared" si="29"/>
        <v>50.682766784294934</v>
      </c>
    </row>
    <row r="68" spans="1:18" x14ac:dyDescent="0.25">
      <c r="A68" s="1">
        <v>60</v>
      </c>
      <c r="B68" s="2">
        <f t="shared" si="16"/>
        <v>84</v>
      </c>
      <c r="C68" s="2">
        <f t="shared" si="17"/>
        <v>84</v>
      </c>
      <c r="D68" s="2">
        <f t="shared" si="24"/>
        <v>21.945290719078262</v>
      </c>
      <c r="E68" s="2">
        <f t="shared" si="25"/>
        <v>-173.96974971921003</v>
      </c>
      <c r="F68" s="2">
        <f t="shared" si="26"/>
        <v>21.945290719078262</v>
      </c>
      <c r="G68" s="2">
        <f t="shared" si="27"/>
        <v>-173.96974971921003</v>
      </c>
      <c r="H68" s="2">
        <f t="shared" si="18"/>
        <v>-16.923076923076906</v>
      </c>
      <c r="I68" s="2">
        <f t="shared" si="19"/>
        <v>-16.923076923076906</v>
      </c>
      <c r="M68" s="2">
        <f t="shared" si="20"/>
        <v>73.422314684667541</v>
      </c>
      <c r="N68" s="2">
        <f t="shared" si="21"/>
        <v>30.386311717294944</v>
      </c>
      <c r="O68" s="2">
        <f t="shared" si="22"/>
        <v>73.422314684667541</v>
      </c>
      <c r="P68" s="2">
        <f t="shared" si="23"/>
        <v>30.386311717294944</v>
      </c>
      <c r="Q68" s="1">
        <f t="shared" si="28"/>
        <v>50.449219128375731</v>
      </c>
      <c r="R68" s="1">
        <f t="shared" si="29"/>
        <v>50.449219128375731</v>
      </c>
    </row>
    <row r="69" spans="1:18" x14ac:dyDescent="0.25">
      <c r="A69" s="1">
        <v>61</v>
      </c>
      <c r="B69" s="2">
        <f t="shared" si="16"/>
        <v>84.554455445544548</v>
      </c>
      <c r="C69" s="2">
        <f t="shared" si="17"/>
        <v>84.554455445544548</v>
      </c>
      <c r="D69" s="2">
        <f t="shared" si="24"/>
        <v>21.704791357118484</v>
      </c>
      <c r="E69" s="2">
        <f t="shared" si="25"/>
        <v>-190.6420912182316</v>
      </c>
      <c r="F69" s="2">
        <f t="shared" si="26"/>
        <v>21.704791357118484</v>
      </c>
      <c r="G69" s="2">
        <f t="shared" si="27"/>
        <v>-190.6420912182316</v>
      </c>
      <c r="H69" s="2">
        <f t="shared" si="18"/>
        <v>-18.487179487179475</v>
      </c>
      <c r="I69" s="2">
        <f t="shared" si="19"/>
        <v>-18.487179487179475</v>
      </c>
      <c r="M69" s="2">
        <f t="shared" si="20"/>
        <v>74.201696042975158</v>
      </c>
      <c r="N69" s="2">
        <f t="shared" si="21"/>
        <v>29.538347289385527</v>
      </c>
      <c r="O69" s="2">
        <f t="shared" si="22"/>
        <v>74.201696042975158</v>
      </c>
      <c r="P69" s="2">
        <f t="shared" si="23"/>
        <v>29.538347289385527</v>
      </c>
      <c r="Q69" s="1">
        <f t="shared" si="28"/>
        <v>50.221435547950499</v>
      </c>
      <c r="R69" s="1">
        <f t="shared" si="29"/>
        <v>50.221435547950499</v>
      </c>
    </row>
    <row r="70" spans="1:18" x14ac:dyDescent="0.25">
      <c r="A70" s="1">
        <v>62</v>
      </c>
      <c r="B70" s="2">
        <f t="shared" si="16"/>
        <v>85.098039215686285</v>
      </c>
      <c r="C70" s="2">
        <f t="shared" si="17"/>
        <v>85.098039215686285</v>
      </c>
      <c r="D70" s="2">
        <f t="shared" si="24"/>
        <v>21.470774585066305</v>
      </c>
      <c r="E70" s="2">
        <f t="shared" si="25"/>
        <v>-208.80254243156992</v>
      </c>
      <c r="F70" s="2">
        <f t="shared" si="26"/>
        <v>21.470774585066305</v>
      </c>
      <c r="G70" s="2">
        <f t="shared" si="27"/>
        <v>-208.80254243156992</v>
      </c>
      <c r="H70" s="2">
        <f t="shared" si="18"/>
        <v>-20.051282051282044</v>
      </c>
      <c r="I70" s="2">
        <f t="shared" si="19"/>
        <v>-20.051282051282044</v>
      </c>
      <c r="M70" s="2">
        <f t="shared" si="20"/>
        <v>74.973607427660653</v>
      </c>
      <c r="N70" s="2">
        <f t="shared" si="21"/>
        <v>28.696011815445662</v>
      </c>
      <c r="O70" s="2">
        <f t="shared" si="22"/>
        <v>74.973607427660653</v>
      </c>
      <c r="P70" s="2">
        <f t="shared" si="23"/>
        <v>28.696011815445662</v>
      </c>
      <c r="Q70" s="1">
        <f t="shared" si="28"/>
        <v>49.999179310454579</v>
      </c>
      <c r="R70" s="1">
        <f t="shared" si="29"/>
        <v>49.999179310454579</v>
      </c>
    </row>
    <row r="71" spans="1:18" x14ac:dyDescent="0.25">
      <c r="A71" s="1">
        <v>63</v>
      </c>
      <c r="B71" s="2">
        <f t="shared" si="16"/>
        <v>85.631067961165044</v>
      </c>
      <c r="C71" s="2">
        <f t="shared" si="17"/>
        <v>85.631067961165044</v>
      </c>
      <c r="D71" s="2">
        <f t="shared" si="24"/>
        <v>21.242965272489489</v>
      </c>
      <c r="E71" s="2">
        <f t="shared" si="25"/>
        <v>-228.628509138239</v>
      </c>
      <c r="F71" s="2">
        <f t="shared" si="26"/>
        <v>21.242965272489489</v>
      </c>
      <c r="G71" s="2">
        <f t="shared" si="27"/>
        <v>-228.628509138239</v>
      </c>
      <c r="H71" s="2">
        <f t="shared" si="18"/>
        <v>-21.615384615384599</v>
      </c>
      <c r="I71" s="2">
        <f t="shared" si="19"/>
        <v>-21.615384615384599</v>
      </c>
      <c r="M71" s="2">
        <f t="shared" si="20"/>
        <v>75.738209871845541</v>
      </c>
      <c r="N71" s="2">
        <f t="shared" si="21"/>
        <v>27.859194413499036</v>
      </c>
      <c r="O71" s="2">
        <f t="shared" si="22"/>
        <v>75.738209871845541</v>
      </c>
      <c r="P71" s="2">
        <f t="shared" si="23"/>
        <v>27.859194413499036</v>
      </c>
      <c r="Q71" s="1">
        <f t="shared" si="28"/>
        <v>49.782227013610623</v>
      </c>
      <c r="R71" s="1">
        <f t="shared" si="29"/>
        <v>49.782227013610623</v>
      </c>
    </row>
    <row r="72" spans="1:18" x14ac:dyDescent="0.25">
      <c r="A72" s="1">
        <v>64</v>
      </c>
      <c r="B72" s="2">
        <f t="shared" ref="B72:B103" si="30">(alpha0*(1-beta0)*$A72*SCapital0)/(alpha0*(1-beta0)*$A72+beta0*(1-alpha0)*MAX(SLab0-$A72,0))</f>
        <v>86.15384615384616</v>
      </c>
      <c r="C72" s="2">
        <f t="shared" ref="C72:C103" si="31">(alpha1*(1-beta1)*$A72*SCapital1)/(alpha1*(1-beta1)*$A72+beta1*(1-alpha1)*MAX(SLab1-$A72,0))</f>
        <v>86.15384615384616</v>
      </c>
      <c r="D72" s="2">
        <f t="shared" si="24"/>
        <v>21.021104093310473</v>
      </c>
      <c r="E72" s="2">
        <f t="shared" si="25"/>
        <v>-250.32416130681992</v>
      </c>
      <c r="F72" s="2">
        <f t="shared" si="26"/>
        <v>21.021104093310473</v>
      </c>
      <c r="G72" s="2">
        <f t="shared" si="27"/>
        <v>-250.32416130681992</v>
      </c>
      <c r="H72" s="2">
        <f t="shared" ref="H72:H103" si="32">interc0-mrt0*A72</f>
        <v>-23.179487179487168</v>
      </c>
      <c r="I72" s="2">
        <f t="shared" ref="I72:I103" si="33">interc1-mrts1*A72</f>
        <v>-23.179487179487168</v>
      </c>
      <c r="M72" s="2">
        <f t="shared" ref="M72:M103" si="34">TechA0*(B72^alpha0)*(A72^(1-alpha0))</f>
        <v>76.495659253662964</v>
      </c>
      <c r="N72" s="2">
        <f t="shared" ref="N72:N103" si="35">TechB0*(MAX(SCapital0-B72,0)^beta0)*(MAX(SLab0-A72,0)^(1-beta0))</f>
        <v>27.027787540698931</v>
      </c>
      <c r="O72" s="2">
        <f t="shared" ref="O72:O103" si="36">TechA1*(C72^alpha1)*(A72^(1-alpha1))</f>
        <v>76.495659253662964</v>
      </c>
      <c r="P72" s="2">
        <f t="shared" ref="P72:P103" si="37">TechB1*(MAX(SCapital1-C72,0)^beta1)*(MAX(SLab1-A72,0)^(1-beta1))</f>
        <v>27.027787540698931</v>
      </c>
      <c r="Q72" s="1">
        <f t="shared" si="28"/>
        <v>49.570367640025658</v>
      </c>
      <c r="R72" s="1">
        <f t="shared" si="29"/>
        <v>49.570367640025658</v>
      </c>
    </row>
    <row r="73" spans="1:18" x14ac:dyDescent="0.25">
      <c r="A73" s="1">
        <v>65</v>
      </c>
      <c r="B73" s="2">
        <f t="shared" si="30"/>
        <v>86.666666666666671</v>
      </c>
      <c r="C73" s="2">
        <f t="shared" si="31"/>
        <v>86.666666666666671</v>
      </c>
      <c r="D73" s="2">
        <f t="shared" ref="D73:D104" si="38">(X1e0/(TechA0*($A73^(1-alpha0))))^(1/alpha0)</f>
        <v>20.804946388173619</v>
      </c>
      <c r="E73" s="2">
        <f t="shared" ref="E73:E104" si="39">SCapital0-(X2e0/(TechB0*(MAX(SLab0-$A73,0)^(1-beta0))))^(1/beta0)</f>
        <v>-274.12536705159448</v>
      </c>
      <c r="F73" s="2">
        <f t="shared" ref="F73:F104" si="40">(X1e1/(TechA1*($A73^(1-alpha1))))^(1/alpha1)</f>
        <v>20.804946388173619</v>
      </c>
      <c r="G73" s="2">
        <f t="shared" ref="G73:G104" si="41">SCapital1-(X2e1/(TechB1*((SLab1-$A73)^(1-beta1))))^(1/beta1)</f>
        <v>-274.12536705159448</v>
      </c>
      <c r="H73" s="2">
        <f t="shared" si="32"/>
        <v>-24.743589743589737</v>
      </c>
      <c r="I73" s="2">
        <f t="shared" si="33"/>
        <v>-24.743589743589737</v>
      </c>
      <c r="M73" s="2">
        <f t="shared" si="34"/>
        <v>77.246106511860148</v>
      </c>
      <c r="N73" s="2">
        <f t="shared" si="35"/>
        <v>26.201686860324354</v>
      </c>
      <c r="O73" s="2">
        <f t="shared" si="36"/>
        <v>77.246106511860148</v>
      </c>
      <c r="P73" s="2">
        <f t="shared" si="37"/>
        <v>26.201686860324354</v>
      </c>
      <c r="Q73" s="1">
        <f t="shared" ref="Q73:Q104" si="42">(util0/(M73^gamma0))^(1/(1-gamma0))</f>
        <v>49.363401692209926</v>
      </c>
      <c r="R73" s="1">
        <f t="shared" ref="R73:R104" si="43">(util1/(O73^gamma1))^(1/(1-gamma1))</f>
        <v>49.363401692209926</v>
      </c>
    </row>
    <row r="74" spans="1:18" x14ac:dyDescent="0.25">
      <c r="A74" s="1">
        <v>66</v>
      </c>
      <c r="B74" s="2">
        <f t="shared" si="30"/>
        <v>87.169811320754718</v>
      </c>
      <c r="C74" s="2">
        <f t="shared" si="31"/>
        <v>87.169811320754718</v>
      </c>
      <c r="D74" s="2">
        <f t="shared" si="38"/>
        <v>20.594261124739692</v>
      </c>
      <c r="E74" s="2">
        <f t="shared" si="39"/>
        <v>-300.30571124289804</v>
      </c>
      <c r="F74" s="2">
        <f t="shared" si="40"/>
        <v>20.594261124739692</v>
      </c>
      <c r="G74" s="2">
        <f t="shared" si="41"/>
        <v>-300.30571124289804</v>
      </c>
      <c r="H74" s="2">
        <f t="shared" si="32"/>
        <v>-26.307692307692292</v>
      </c>
      <c r="I74" s="2">
        <f t="shared" si="33"/>
        <v>-26.307692307692292</v>
      </c>
      <c r="M74" s="2">
        <f t="shared" si="34"/>
        <v>77.989697850351632</v>
      </c>
      <c r="N74" s="2">
        <f t="shared" si="35"/>
        <v>25.380791115317194</v>
      </c>
      <c r="O74" s="2">
        <f t="shared" si="36"/>
        <v>77.989697850351632</v>
      </c>
      <c r="P74" s="2">
        <f t="shared" si="37"/>
        <v>25.380791115317194</v>
      </c>
      <c r="Q74" s="1">
        <f t="shared" si="42"/>
        <v>49.161140400072135</v>
      </c>
      <c r="R74" s="1">
        <f t="shared" si="43"/>
        <v>49.161140400072135</v>
      </c>
    </row>
    <row r="75" spans="1:18" x14ac:dyDescent="0.25">
      <c r="A75" s="1">
        <v>67</v>
      </c>
      <c r="B75" s="2">
        <f t="shared" si="30"/>
        <v>87.663551401869157</v>
      </c>
      <c r="C75" s="2">
        <f t="shared" si="31"/>
        <v>87.663551401869157</v>
      </c>
      <c r="D75" s="2">
        <f t="shared" si="38"/>
        <v>20.38882994613876</v>
      </c>
      <c r="E75" s="2">
        <f t="shared" si="39"/>
        <v>-329.18387807556155</v>
      </c>
      <c r="F75" s="2">
        <f t="shared" si="40"/>
        <v>20.38882994613876</v>
      </c>
      <c r="G75" s="2">
        <f t="shared" si="41"/>
        <v>-329.18387807556155</v>
      </c>
      <c r="H75" s="2">
        <f t="shared" si="32"/>
        <v>-27.871794871794862</v>
      </c>
      <c r="I75" s="2">
        <f t="shared" si="33"/>
        <v>-27.871794871794862</v>
      </c>
      <c r="M75" s="2">
        <f t="shared" si="34"/>
        <v>78.72657493239106</v>
      </c>
      <c r="N75" s="2">
        <f t="shared" si="35"/>
        <v>24.565002007979473</v>
      </c>
      <c r="O75" s="2">
        <f t="shared" si="36"/>
        <v>78.72657493239106</v>
      </c>
      <c r="P75" s="2">
        <f t="shared" si="37"/>
        <v>24.565002007979473</v>
      </c>
      <c r="Q75" s="1">
        <f t="shared" si="42"/>
        <v>48.963404993835475</v>
      </c>
      <c r="R75" s="1">
        <f t="shared" si="43"/>
        <v>48.963404993835475</v>
      </c>
    </row>
    <row r="76" spans="1:18" x14ac:dyDescent="0.25">
      <c r="A76" s="1">
        <v>68</v>
      </c>
      <c r="B76" s="2">
        <f t="shared" si="30"/>
        <v>88.148148148148152</v>
      </c>
      <c r="C76" s="2">
        <f t="shared" si="31"/>
        <v>88.148148148148152</v>
      </c>
      <c r="D76" s="2">
        <f t="shared" si="38"/>
        <v>20.188446298916784</v>
      </c>
      <c r="E76" s="2">
        <f t="shared" si="39"/>
        <v>-361.13276001126479</v>
      </c>
      <c r="F76" s="2">
        <f t="shared" si="40"/>
        <v>20.188446298916784</v>
      </c>
      <c r="G76" s="2">
        <f t="shared" si="41"/>
        <v>-361.13276001126479</v>
      </c>
      <c r="H76" s="2">
        <f t="shared" si="32"/>
        <v>-29.435897435897431</v>
      </c>
      <c r="I76" s="2">
        <f t="shared" si="33"/>
        <v>-29.435897435897431</v>
      </c>
      <c r="M76" s="2">
        <f t="shared" si="34"/>
        <v>79.456875064981801</v>
      </c>
      <c r="N76" s="2">
        <f t="shared" si="35"/>
        <v>23.754224085475219</v>
      </c>
      <c r="O76" s="2">
        <f t="shared" si="36"/>
        <v>79.456875064981801</v>
      </c>
      <c r="P76" s="2">
        <f t="shared" si="37"/>
        <v>23.754224085475219</v>
      </c>
      <c r="Q76" s="1">
        <f t="shared" si="42"/>
        <v>48.770026036100298</v>
      </c>
      <c r="R76" s="1">
        <f t="shared" si="43"/>
        <v>48.770026036100298</v>
      </c>
    </row>
    <row r="77" spans="1:18" x14ac:dyDescent="0.25">
      <c r="A77" s="1">
        <v>69</v>
      </c>
      <c r="B77" s="2">
        <f t="shared" si="30"/>
        <v>88.623853211009163</v>
      </c>
      <c r="C77" s="2">
        <f t="shared" si="31"/>
        <v>88.623853211009163</v>
      </c>
      <c r="D77" s="2">
        <f t="shared" si="38"/>
        <v>19.992914632776529</v>
      </c>
      <c r="E77" s="2">
        <f t="shared" si="39"/>
        <v>-396.59076690222076</v>
      </c>
      <c r="F77" s="2">
        <f t="shared" si="40"/>
        <v>19.992914632776529</v>
      </c>
      <c r="G77" s="2">
        <f t="shared" si="41"/>
        <v>-396.59076690222076</v>
      </c>
      <c r="H77" s="2">
        <f t="shared" si="32"/>
        <v>-30.999999999999986</v>
      </c>
      <c r="I77" s="2">
        <f t="shared" si="33"/>
        <v>-30.999999999999986</v>
      </c>
      <c r="M77" s="2">
        <f t="shared" si="34"/>
        <v>80.180731374105207</v>
      </c>
      <c r="N77" s="2">
        <f t="shared" si="35"/>
        <v>22.948364630804754</v>
      </c>
      <c r="O77" s="2">
        <f t="shared" si="36"/>
        <v>80.180731374105207</v>
      </c>
      <c r="P77" s="2">
        <f t="shared" si="37"/>
        <v>22.948364630804754</v>
      </c>
      <c r="Q77" s="1">
        <f t="shared" si="42"/>
        <v>48.580842807460719</v>
      </c>
      <c r="R77" s="1">
        <f t="shared" si="43"/>
        <v>48.580842807460719</v>
      </c>
    </row>
    <row r="78" spans="1:18" x14ac:dyDescent="0.25">
      <c r="A78" s="1">
        <v>70</v>
      </c>
      <c r="B78" s="2">
        <f t="shared" si="30"/>
        <v>89.090909090909093</v>
      </c>
      <c r="C78" s="2">
        <f t="shared" si="31"/>
        <v>89.090909090909093</v>
      </c>
      <c r="D78" s="2">
        <f t="shared" si="38"/>
        <v>19.80204966525849</v>
      </c>
      <c r="E78" s="2">
        <f t="shared" si="39"/>
        <v>-436.07595968634109</v>
      </c>
      <c r="F78" s="2">
        <f t="shared" si="40"/>
        <v>19.80204966525849</v>
      </c>
      <c r="G78" s="2">
        <f t="shared" si="41"/>
        <v>-436.07595968634109</v>
      </c>
      <c r="H78" s="2">
        <f t="shared" si="32"/>
        <v>-32.564102564102555</v>
      </c>
      <c r="I78" s="2">
        <f t="shared" si="33"/>
        <v>-32.564102564102555</v>
      </c>
      <c r="M78" s="2">
        <f t="shared" si="34"/>
        <v>80.898272971305516</v>
      </c>
      <c r="N78" s="2">
        <f t="shared" si="35"/>
        <v>22.147333558941799</v>
      </c>
      <c r="O78" s="2">
        <f t="shared" si="36"/>
        <v>80.898272971305516</v>
      </c>
      <c r="P78" s="2">
        <f t="shared" si="37"/>
        <v>22.147333558941799</v>
      </c>
      <c r="Q78" s="1">
        <f t="shared" si="42"/>
        <v>48.395702740685266</v>
      </c>
      <c r="R78" s="1">
        <f t="shared" si="43"/>
        <v>48.395702740685266</v>
      </c>
    </row>
    <row r="79" spans="1:18" x14ac:dyDescent="0.25">
      <c r="A79" s="1">
        <v>71</v>
      </c>
      <c r="B79" s="2">
        <f t="shared" si="30"/>
        <v>89.549549549549553</v>
      </c>
      <c r="C79" s="2">
        <f t="shared" si="31"/>
        <v>89.549549549549553</v>
      </c>
      <c r="D79" s="2">
        <f t="shared" si="38"/>
        <v>19.615675705249664</v>
      </c>
      <c r="E79" s="2">
        <f t="shared" si="39"/>
        <v>-480.20383847205017</v>
      </c>
      <c r="F79" s="2">
        <f t="shared" si="40"/>
        <v>19.615675705249664</v>
      </c>
      <c r="G79" s="2">
        <f t="shared" si="41"/>
        <v>-480.20383847205017</v>
      </c>
      <c r="H79" s="2">
        <f t="shared" si="32"/>
        <v>-34.12820512820511</v>
      </c>
      <c r="I79" s="2">
        <f t="shared" si="33"/>
        <v>-34.12820512820511</v>
      </c>
      <c r="M79" s="2">
        <f t="shared" si="34"/>
        <v>81.609625112133443</v>
      </c>
      <c r="N79" s="2">
        <f t="shared" si="35"/>
        <v>21.351043317843306</v>
      </c>
      <c r="O79" s="2">
        <f t="shared" si="36"/>
        <v>81.609625112133443</v>
      </c>
      <c r="P79" s="2">
        <f t="shared" si="37"/>
        <v>21.351043317843306</v>
      </c>
      <c r="Q79" s="1">
        <f t="shared" si="42"/>
        <v>48.214460898997778</v>
      </c>
      <c r="R79" s="1">
        <f t="shared" si="43"/>
        <v>48.214460898997778</v>
      </c>
    </row>
    <row r="80" spans="1:18" x14ac:dyDescent="0.25">
      <c r="A80" s="1">
        <v>72</v>
      </c>
      <c r="B80" s="2">
        <f t="shared" si="30"/>
        <v>90</v>
      </c>
      <c r="C80" s="2">
        <f t="shared" si="31"/>
        <v>90</v>
      </c>
      <c r="D80" s="2">
        <f t="shared" si="38"/>
        <v>19.433626029860118</v>
      </c>
      <c r="E80" s="2">
        <f t="shared" si="39"/>
        <v>-529.70989781005142</v>
      </c>
      <c r="F80" s="2">
        <f t="shared" si="40"/>
        <v>19.433626029860118</v>
      </c>
      <c r="G80" s="2">
        <f t="shared" si="41"/>
        <v>-529.70989781005142</v>
      </c>
      <c r="H80" s="2">
        <f t="shared" si="32"/>
        <v>-35.692307692307679</v>
      </c>
      <c r="I80" s="2">
        <f t="shared" si="33"/>
        <v>-35.692307692307679</v>
      </c>
      <c r="M80" s="2">
        <f t="shared" si="34"/>
        <v>82.314909346918753</v>
      </c>
      <c r="N80" s="2">
        <f t="shared" si="35"/>
        <v>20.559408794061092</v>
      </c>
      <c r="O80" s="2">
        <f t="shared" si="36"/>
        <v>82.314909346918753</v>
      </c>
      <c r="P80" s="2">
        <f t="shared" si="37"/>
        <v>20.559408794061092</v>
      </c>
      <c r="Q80" s="1">
        <f t="shared" si="42"/>
        <v>48.036979494462095</v>
      </c>
      <c r="R80" s="1">
        <f t="shared" si="43"/>
        <v>48.036979494462095</v>
      </c>
    </row>
    <row r="81" spans="1:18" x14ac:dyDescent="0.25">
      <c r="A81" s="1">
        <v>73</v>
      </c>
      <c r="B81" s="2">
        <f t="shared" si="30"/>
        <v>90.442477876106196</v>
      </c>
      <c r="C81" s="2">
        <f t="shared" si="31"/>
        <v>90.442477876106196</v>
      </c>
      <c r="D81" s="2">
        <f t="shared" si="38"/>
        <v>19.255742309782445</v>
      </c>
      <c r="E81" s="2">
        <f t="shared" si="39"/>
        <v>-585.47845580156695</v>
      </c>
      <c r="F81" s="2">
        <f t="shared" si="40"/>
        <v>19.255742309782445</v>
      </c>
      <c r="G81" s="2">
        <f t="shared" si="41"/>
        <v>-585.47845580156695</v>
      </c>
      <c r="H81" s="2">
        <f t="shared" si="32"/>
        <v>-37.256410256410248</v>
      </c>
      <c r="I81" s="2">
        <f t="shared" si="33"/>
        <v>-37.256410256410248</v>
      </c>
      <c r="M81" s="2">
        <f t="shared" si="34"/>
        <v>83.014243664308381</v>
      </c>
      <c r="N81" s="2">
        <f t="shared" si="35"/>
        <v>19.772347222701647</v>
      </c>
      <c r="O81" s="2">
        <f t="shared" si="36"/>
        <v>83.014243664308381</v>
      </c>
      <c r="P81" s="2">
        <f t="shared" si="37"/>
        <v>19.772347222701647</v>
      </c>
      <c r="Q81" s="1">
        <f t="shared" si="42"/>
        <v>47.86312744288616</v>
      </c>
      <c r="R81" s="1">
        <f t="shared" si="43"/>
        <v>47.86312744288616</v>
      </c>
    </row>
    <row r="82" spans="1:18" x14ac:dyDescent="0.25">
      <c r="A82" s="1">
        <v>74</v>
      </c>
      <c r="B82" s="2">
        <f t="shared" si="30"/>
        <v>90.877192982456151</v>
      </c>
      <c r="C82" s="2">
        <f t="shared" si="31"/>
        <v>90.877192982456151</v>
      </c>
      <c r="D82" s="2">
        <f t="shared" si="38"/>
        <v>19.081874078755988</v>
      </c>
      <c r="E82" s="2">
        <f t="shared" si="39"/>
        <v>-648.57981793173667</v>
      </c>
      <c r="F82" s="2">
        <f t="shared" si="40"/>
        <v>19.081874078755988</v>
      </c>
      <c r="G82" s="2">
        <f t="shared" si="41"/>
        <v>-648.57981793173667</v>
      </c>
      <c r="H82" s="2">
        <f t="shared" si="32"/>
        <v>-38.820512820512803</v>
      </c>
      <c r="I82" s="2">
        <f t="shared" si="33"/>
        <v>-38.820512820512803</v>
      </c>
      <c r="M82" s="2">
        <f t="shared" si="34"/>
        <v>83.70774262798119</v>
      </c>
      <c r="N82" s="2">
        <f t="shared" si="35"/>
        <v>18.98977810149659</v>
      </c>
      <c r="O82" s="2">
        <f t="shared" si="36"/>
        <v>83.70774262798119</v>
      </c>
      <c r="P82" s="2">
        <f t="shared" si="37"/>
        <v>18.98977810149659</v>
      </c>
      <c r="Q82" s="1">
        <f t="shared" si="42"/>
        <v>47.692779952023038</v>
      </c>
      <c r="R82" s="1">
        <f t="shared" si="43"/>
        <v>47.692779952023038</v>
      </c>
    </row>
    <row r="83" spans="1:18" x14ac:dyDescent="0.25">
      <c r="A83" s="1">
        <v>75</v>
      </c>
      <c r="B83" s="2">
        <f t="shared" si="30"/>
        <v>91.304347826086953</v>
      </c>
      <c r="C83" s="2">
        <f t="shared" si="31"/>
        <v>91.304347826086953</v>
      </c>
      <c r="D83" s="2">
        <f t="shared" si="38"/>
        <v>18.91187824320679</v>
      </c>
      <c r="E83" s="2">
        <f t="shared" si="39"/>
        <v>-720.31862570261376</v>
      </c>
      <c r="F83" s="2">
        <f t="shared" si="40"/>
        <v>18.91187824320679</v>
      </c>
      <c r="G83" s="2">
        <f t="shared" si="41"/>
        <v>-720.31862570261376</v>
      </c>
      <c r="H83" s="2">
        <f t="shared" si="32"/>
        <v>-40.384615384615373</v>
      </c>
      <c r="I83" s="2">
        <f t="shared" si="33"/>
        <v>-40.384615384615373</v>
      </c>
      <c r="M83" s="2">
        <f t="shared" si="34"/>
        <v>84.395517506920498</v>
      </c>
      <c r="N83" s="2">
        <f t="shared" si="35"/>
        <v>18.211623108761177</v>
      </c>
      <c r="O83" s="2">
        <f t="shared" si="36"/>
        <v>84.395517506920498</v>
      </c>
      <c r="P83" s="2">
        <f t="shared" si="37"/>
        <v>18.211623108761177</v>
      </c>
      <c r="Q83" s="1">
        <f t="shared" si="42"/>
        <v>47.525818140172802</v>
      </c>
      <c r="R83" s="1">
        <f t="shared" si="43"/>
        <v>47.525818140172802</v>
      </c>
    </row>
    <row r="84" spans="1:18" x14ac:dyDescent="0.25">
      <c r="A84" s="1">
        <v>76</v>
      </c>
      <c r="B84" s="2">
        <f t="shared" si="30"/>
        <v>91.724137931034491</v>
      </c>
      <c r="C84" s="2">
        <f t="shared" si="31"/>
        <v>91.724137931034491</v>
      </c>
      <c r="D84" s="2">
        <f t="shared" si="38"/>
        <v>18.745618628530856</v>
      </c>
      <c r="E84" s="2">
        <f t="shared" si="39"/>
        <v>-802.29737815655051</v>
      </c>
      <c r="F84" s="2">
        <f t="shared" si="40"/>
        <v>18.745618628530856</v>
      </c>
      <c r="G84" s="2">
        <f t="shared" si="41"/>
        <v>-802.29737815655051</v>
      </c>
      <c r="H84" s="2">
        <f t="shared" si="32"/>
        <v>-41.948717948717942</v>
      </c>
      <c r="I84" s="2">
        <f t="shared" si="33"/>
        <v>-41.948717948717942</v>
      </c>
      <c r="M84" s="2">
        <f t="shared" si="34"/>
        <v>85.077676399603661</v>
      </c>
      <c r="N84" s="2">
        <f t="shared" si="35"/>
        <v>17.437806025032089</v>
      </c>
      <c r="O84" s="2">
        <f t="shared" si="36"/>
        <v>85.077676399603661</v>
      </c>
      <c r="P84" s="2">
        <f t="shared" si="37"/>
        <v>17.437806025032089</v>
      </c>
      <c r="Q84" s="1">
        <f t="shared" si="42"/>
        <v>47.362128682572859</v>
      </c>
      <c r="R84" s="1">
        <f t="shared" si="43"/>
        <v>47.362128682572859</v>
      </c>
    </row>
    <row r="85" spans="1:18" x14ac:dyDescent="0.25">
      <c r="A85" s="1">
        <v>77</v>
      </c>
      <c r="B85" s="2">
        <f t="shared" si="30"/>
        <v>92.136752136752136</v>
      </c>
      <c r="C85" s="2">
        <f t="shared" si="31"/>
        <v>92.136752136752136</v>
      </c>
      <c r="D85" s="2">
        <f t="shared" si="38"/>
        <v>18.582965558841597</v>
      </c>
      <c r="E85" s="2">
        <f t="shared" si="39"/>
        <v>-896.50077785519989</v>
      </c>
      <c r="F85" s="2">
        <f t="shared" si="40"/>
        <v>18.582965558841597</v>
      </c>
      <c r="G85" s="2">
        <f t="shared" si="41"/>
        <v>-896.50077785519989</v>
      </c>
      <c r="H85" s="2">
        <f t="shared" si="32"/>
        <v>-43.512820512820497</v>
      </c>
      <c r="I85" s="2">
        <f t="shared" si="33"/>
        <v>-43.512820512820497</v>
      </c>
      <c r="M85" s="2">
        <f t="shared" si="34"/>
        <v>85.754324352443177</v>
      </c>
      <c r="N85" s="2">
        <f t="shared" si="35"/>
        <v>16.668252658189072</v>
      </c>
      <c r="O85" s="2">
        <f t="shared" si="36"/>
        <v>85.754324352443177</v>
      </c>
      <c r="P85" s="2">
        <f t="shared" si="37"/>
        <v>16.668252658189072</v>
      </c>
      <c r="Q85" s="1">
        <f t="shared" si="42"/>
        <v>47.201603483220573</v>
      </c>
      <c r="R85" s="1">
        <f t="shared" si="43"/>
        <v>47.201603483220573</v>
      </c>
    </row>
    <row r="86" spans="1:18" x14ac:dyDescent="0.25">
      <c r="A86" s="1">
        <v>78</v>
      </c>
      <c r="B86" s="2">
        <f t="shared" si="30"/>
        <v>92.542372881355931</v>
      </c>
      <c r="C86" s="2">
        <f t="shared" si="31"/>
        <v>92.542372881355931</v>
      </c>
      <c r="D86" s="2">
        <f t="shared" si="38"/>
        <v>18.423795467314584</v>
      </c>
      <c r="E86" s="2">
        <f t="shared" si="39"/>
        <v>-1005.4090202915768</v>
      </c>
      <c r="F86" s="2">
        <f t="shared" si="40"/>
        <v>18.423795467314584</v>
      </c>
      <c r="G86" s="2">
        <f t="shared" si="41"/>
        <v>-1005.4090202915768</v>
      </c>
      <c r="H86" s="2">
        <f t="shared" si="32"/>
        <v>-45.076923076923066</v>
      </c>
      <c r="I86" s="2">
        <f t="shared" si="33"/>
        <v>-45.076923076923066</v>
      </c>
      <c r="M86" s="2">
        <f t="shared" si="34"/>
        <v>86.425563472793783</v>
      </c>
      <c r="N86" s="2">
        <f t="shared" si="35"/>
        <v>15.902890771876244</v>
      </c>
      <c r="O86" s="2">
        <f t="shared" si="36"/>
        <v>86.425563472793783</v>
      </c>
      <c r="P86" s="2">
        <f t="shared" si="37"/>
        <v>15.902890771876244</v>
      </c>
      <c r="Q86" s="1">
        <f t="shared" si="42"/>
        <v>47.044139369999954</v>
      </c>
      <c r="R86" s="1">
        <f t="shared" si="43"/>
        <v>47.044139369999954</v>
      </c>
    </row>
    <row r="87" spans="1:18" x14ac:dyDescent="0.25">
      <c r="A87" s="1">
        <v>79</v>
      </c>
      <c r="B87" s="2">
        <f t="shared" si="30"/>
        <v>92.941176470588232</v>
      </c>
      <c r="C87" s="2">
        <f t="shared" si="31"/>
        <v>92.941176470588232</v>
      </c>
      <c r="D87" s="2">
        <f t="shared" si="38"/>
        <v>18.267990534542314</v>
      </c>
      <c r="E87" s="2">
        <f t="shared" si="39"/>
        <v>-1132.1518639867636</v>
      </c>
      <c r="F87" s="2">
        <f t="shared" si="40"/>
        <v>18.267990534542314</v>
      </c>
      <c r="G87" s="2">
        <f t="shared" si="41"/>
        <v>-1132.1518639867636</v>
      </c>
      <c r="H87" s="2">
        <f t="shared" si="32"/>
        <v>-46.641025641025635</v>
      </c>
      <c r="I87" s="2">
        <f t="shared" si="33"/>
        <v>-46.641025641025635</v>
      </c>
      <c r="M87" s="2">
        <f t="shared" si="34"/>
        <v>87.091493036819699</v>
      </c>
      <c r="N87" s="2">
        <f t="shared" si="35"/>
        <v>15.141650017050868</v>
      </c>
      <c r="O87" s="2">
        <f t="shared" si="36"/>
        <v>87.091493036819699</v>
      </c>
      <c r="P87" s="2">
        <f t="shared" si="37"/>
        <v>15.141650017050868</v>
      </c>
      <c r="Q87" s="1">
        <f t="shared" si="42"/>
        <v>46.889637811185871</v>
      </c>
      <c r="R87" s="1">
        <f t="shared" si="43"/>
        <v>46.889637811185871</v>
      </c>
    </row>
    <row r="88" spans="1:18" x14ac:dyDescent="0.25">
      <c r="A88" s="1">
        <v>80</v>
      </c>
      <c r="B88" s="2">
        <f t="shared" si="30"/>
        <v>93.333333333333329</v>
      </c>
      <c r="C88" s="2">
        <f t="shared" si="31"/>
        <v>93.333333333333329</v>
      </c>
      <c r="D88" s="2">
        <f t="shared" si="38"/>
        <v>18.115438352559725</v>
      </c>
      <c r="E88" s="2">
        <f t="shared" si="39"/>
        <v>-1280.7210188226531</v>
      </c>
      <c r="F88" s="2">
        <f t="shared" si="40"/>
        <v>18.115438352559725</v>
      </c>
      <c r="G88" s="2">
        <f t="shared" si="41"/>
        <v>-1280.7210188226531</v>
      </c>
      <c r="H88" s="2">
        <f t="shared" si="32"/>
        <v>-48.20512820512819</v>
      </c>
      <c r="I88" s="2">
        <f t="shared" si="33"/>
        <v>-48.20512820512819</v>
      </c>
      <c r="M88" s="2">
        <f t="shared" si="34"/>
        <v>87.75220959249782</v>
      </c>
      <c r="N88" s="2">
        <f t="shared" si="35"/>
        <v>14.384461866497283</v>
      </c>
      <c r="O88" s="2">
        <f t="shared" si="36"/>
        <v>87.75220959249782</v>
      </c>
      <c r="P88" s="2">
        <f t="shared" si="37"/>
        <v>14.384461866497283</v>
      </c>
      <c r="Q88" s="1">
        <f t="shared" si="42"/>
        <v>46.738004651579885</v>
      </c>
      <c r="R88" s="1">
        <f t="shared" si="43"/>
        <v>46.738004651579885</v>
      </c>
    </row>
    <row r="89" spans="1:18" x14ac:dyDescent="0.25">
      <c r="A89" s="1">
        <v>81</v>
      </c>
      <c r="B89" s="2">
        <f t="shared" si="30"/>
        <v>93.719008264462801</v>
      </c>
      <c r="C89" s="2">
        <f t="shared" si="31"/>
        <v>93.719008264462801</v>
      </c>
      <c r="D89" s="2">
        <f t="shared" si="38"/>
        <v>17.966031612423301</v>
      </c>
      <c r="E89" s="2">
        <f t="shared" si="39"/>
        <v>-1456.2672938823571</v>
      </c>
      <c r="F89" s="2">
        <f t="shared" si="40"/>
        <v>17.966031612423301</v>
      </c>
      <c r="G89" s="2">
        <f t="shared" si="41"/>
        <v>-1456.2672938823571</v>
      </c>
      <c r="H89" s="2">
        <f t="shared" si="32"/>
        <v>-49.769230769230759</v>
      </c>
      <c r="I89" s="2">
        <f t="shared" si="33"/>
        <v>-49.769230769230759</v>
      </c>
      <c r="M89" s="2">
        <f t="shared" si="34"/>
        <v>88.407807058016289</v>
      </c>
      <c r="N89" s="2">
        <f t="shared" si="35"/>
        <v>13.631259552153542</v>
      </c>
      <c r="O89" s="2">
        <f t="shared" si="36"/>
        <v>88.407807058016289</v>
      </c>
      <c r="P89" s="2">
        <f t="shared" si="37"/>
        <v>13.631259552153542</v>
      </c>
      <c r="Q89" s="1">
        <f t="shared" si="42"/>
        <v>46.589149866696118</v>
      </c>
      <c r="R89" s="1">
        <f t="shared" si="43"/>
        <v>46.589149866696118</v>
      </c>
    </row>
    <row r="90" spans="1:18" x14ac:dyDescent="0.25">
      <c r="A90" s="1">
        <v>82</v>
      </c>
      <c r="B90" s="2">
        <f t="shared" si="30"/>
        <v>94.098360655737721</v>
      </c>
      <c r="C90" s="2">
        <f t="shared" si="31"/>
        <v>94.098360655737721</v>
      </c>
      <c r="D90" s="2">
        <f t="shared" si="38"/>
        <v>17.819667813424811</v>
      </c>
      <c r="E90" s="2">
        <f t="shared" si="39"/>
        <v>-1665.5231404689193</v>
      </c>
      <c r="F90" s="2">
        <f t="shared" si="40"/>
        <v>17.819667813424811</v>
      </c>
      <c r="G90" s="2">
        <f t="shared" si="41"/>
        <v>-1665.5231404689193</v>
      </c>
      <c r="H90" s="2">
        <f t="shared" si="32"/>
        <v>-51.333333333333314</v>
      </c>
      <c r="I90" s="2">
        <f t="shared" si="33"/>
        <v>-51.333333333333314</v>
      </c>
      <c r="M90" s="2">
        <f t="shared" si="34"/>
        <v>89.058376815810817</v>
      </c>
      <c r="N90" s="2">
        <f t="shared" si="35"/>
        <v>12.88197800510736</v>
      </c>
      <c r="O90" s="2">
        <f t="shared" si="36"/>
        <v>89.058376815810817</v>
      </c>
      <c r="P90" s="2">
        <f t="shared" si="37"/>
        <v>12.88197800510736</v>
      </c>
      <c r="Q90" s="1">
        <f t="shared" si="42"/>
        <v>46.442987333558101</v>
      </c>
      <c r="R90" s="1">
        <f t="shared" si="43"/>
        <v>46.442987333558101</v>
      </c>
    </row>
    <row r="91" spans="1:18" x14ac:dyDescent="0.25">
      <c r="A91" s="1">
        <v>83</v>
      </c>
      <c r="B91" s="2">
        <f t="shared" si="30"/>
        <v>94.471544715447152</v>
      </c>
      <c r="C91" s="2">
        <f t="shared" si="31"/>
        <v>94.471544715447152</v>
      </c>
      <c r="D91" s="2">
        <f t="shared" si="38"/>
        <v>17.676248992198328</v>
      </c>
      <c r="E91" s="2">
        <f t="shared" si="39"/>
        <v>-1917.4143679522656</v>
      </c>
      <c r="F91" s="2">
        <f t="shared" si="40"/>
        <v>17.676248992198328</v>
      </c>
      <c r="G91" s="2">
        <f t="shared" si="41"/>
        <v>-1917.4143679522656</v>
      </c>
      <c r="H91" s="2">
        <f t="shared" si="32"/>
        <v>-52.897435897435884</v>
      </c>
      <c r="I91" s="2">
        <f t="shared" si="33"/>
        <v>-52.897435897435884</v>
      </c>
      <c r="M91" s="2">
        <f t="shared" si="34"/>
        <v>89.704007802467785</v>
      </c>
      <c r="N91" s="2">
        <f t="shared" si="35"/>
        <v>12.136553798126558</v>
      </c>
      <c r="O91" s="2">
        <f t="shared" si="36"/>
        <v>89.704007802467785</v>
      </c>
      <c r="P91" s="2">
        <f t="shared" si="37"/>
        <v>12.136553798126558</v>
      </c>
      <c r="Q91" s="1">
        <f t="shared" si="42"/>
        <v>46.299434616799743</v>
      </c>
      <c r="R91" s="1">
        <f t="shared" si="43"/>
        <v>46.299434616799743</v>
      </c>
    </row>
    <row r="92" spans="1:18" x14ac:dyDescent="0.25">
      <c r="A92" s="1">
        <v>84</v>
      </c>
      <c r="B92" s="2">
        <f t="shared" si="30"/>
        <v>94.838709677419345</v>
      </c>
      <c r="C92" s="2">
        <f t="shared" si="31"/>
        <v>94.838709677419345</v>
      </c>
      <c r="D92" s="2">
        <f t="shared" si="38"/>
        <v>17.535681470138826</v>
      </c>
      <c r="E92" s="2">
        <f t="shared" si="39"/>
        <v>-2223.9634845372511</v>
      </c>
      <c r="F92" s="2">
        <f t="shared" si="40"/>
        <v>17.535681470138826</v>
      </c>
      <c r="G92" s="2">
        <f t="shared" si="41"/>
        <v>-2223.9634845372511</v>
      </c>
      <c r="H92" s="2">
        <f t="shared" si="32"/>
        <v>-54.461538461538453</v>
      </c>
      <c r="I92" s="2">
        <f t="shared" si="33"/>
        <v>-54.461538461538453</v>
      </c>
      <c r="M92" s="2">
        <f t="shared" si="34"/>
        <v>90.344786594708552</v>
      </c>
      <c r="N92" s="2">
        <f t="shared" si="35"/>
        <v>11.394925090596514</v>
      </c>
      <c r="O92" s="2">
        <f t="shared" si="36"/>
        <v>90.344786594708552</v>
      </c>
      <c r="P92" s="2">
        <f t="shared" si="37"/>
        <v>11.394925090596514</v>
      </c>
      <c r="Q92" s="1">
        <f t="shared" si="42"/>
        <v>46.158412768880012</v>
      </c>
      <c r="R92" s="1">
        <f t="shared" si="43"/>
        <v>46.158412768880012</v>
      </c>
    </row>
    <row r="93" spans="1:18" x14ac:dyDescent="0.25">
      <c r="A93" s="1">
        <v>85</v>
      </c>
      <c r="B93" s="2">
        <f t="shared" si="30"/>
        <v>95.2</v>
      </c>
      <c r="C93" s="2">
        <f t="shared" si="31"/>
        <v>95.2</v>
      </c>
      <c r="D93" s="2">
        <f t="shared" si="38"/>
        <v>17.397875617692836</v>
      </c>
      <c r="E93" s="2">
        <f t="shared" si="39"/>
        <v>-2601.6535438056635</v>
      </c>
      <c r="F93" s="2">
        <f t="shared" si="40"/>
        <v>17.397875617692836</v>
      </c>
      <c r="G93" s="2">
        <f t="shared" si="41"/>
        <v>-2601.6535438056635</v>
      </c>
      <c r="H93" s="2">
        <f t="shared" si="32"/>
        <v>-56.025641025641022</v>
      </c>
      <c r="I93" s="2">
        <f t="shared" si="33"/>
        <v>-56.025641025641022</v>
      </c>
      <c r="M93" s="2">
        <f t="shared" si="34"/>
        <v>90.980797491656674</v>
      </c>
      <c r="N93" s="2">
        <f t="shared" si="35"/>
        <v>10.65703157574541</v>
      </c>
      <c r="O93" s="2">
        <f t="shared" si="36"/>
        <v>90.980797491656674</v>
      </c>
      <c r="P93" s="2">
        <f t="shared" si="37"/>
        <v>10.65703157574541</v>
      </c>
      <c r="Q93" s="1">
        <f t="shared" si="42"/>
        <v>46.01984614332649</v>
      </c>
      <c r="R93" s="1">
        <f t="shared" si="43"/>
        <v>46.01984614332649</v>
      </c>
    </row>
    <row r="94" spans="1:18" x14ac:dyDescent="0.25">
      <c r="A94" s="1">
        <v>86</v>
      </c>
      <c r="B94" s="2">
        <f t="shared" si="30"/>
        <v>95.555555555555557</v>
      </c>
      <c r="C94" s="2">
        <f t="shared" si="31"/>
        <v>95.555555555555557</v>
      </c>
      <c r="D94" s="2">
        <f t="shared" si="38"/>
        <v>17.262745634211065</v>
      </c>
      <c r="E94" s="2">
        <f t="shared" si="39"/>
        <v>-3073.5390223121358</v>
      </c>
      <c r="F94" s="2">
        <f t="shared" si="40"/>
        <v>17.262745634211065</v>
      </c>
      <c r="G94" s="2">
        <f t="shared" si="41"/>
        <v>-3073.5390223121358</v>
      </c>
      <c r="H94" s="2">
        <f t="shared" si="32"/>
        <v>-57.589743589743591</v>
      </c>
      <c r="I94" s="2">
        <f t="shared" si="33"/>
        <v>-57.589743589743591</v>
      </c>
      <c r="M94" s="2">
        <f t="shared" si="34"/>
        <v>91.612122593577439</v>
      </c>
      <c r="N94" s="2">
        <f t="shared" si="35"/>
        <v>9.9228144300440491</v>
      </c>
      <c r="O94" s="2">
        <f t="shared" si="36"/>
        <v>91.612122593577439</v>
      </c>
      <c r="P94" s="2">
        <f t="shared" si="37"/>
        <v>9.9228144300440491</v>
      </c>
      <c r="Q94" s="1">
        <f t="shared" si="42"/>
        <v>45.883662220017612</v>
      </c>
      <c r="R94" s="1">
        <f t="shared" si="43"/>
        <v>45.883662220017612</v>
      </c>
    </row>
    <row r="95" spans="1:18" x14ac:dyDescent="0.25">
      <c r="A95" s="1">
        <v>87</v>
      </c>
      <c r="B95" s="2">
        <f t="shared" si="30"/>
        <v>95.905511811023615</v>
      </c>
      <c r="C95" s="2">
        <f t="shared" si="31"/>
        <v>95.905511811023615</v>
      </c>
      <c r="D95" s="2">
        <f t="shared" si="38"/>
        <v>17.130209342167849</v>
      </c>
      <c r="E95" s="2">
        <f t="shared" si="39"/>
        <v>-3672.6058805546695</v>
      </c>
      <c r="F95" s="2">
        <f t="shared" si="40"/>
        <v>17.130209342167849</v>
      </c>
      <c r="G95" s="2">
        <f t="shared" si="41"/>
        <v>-3672.6058805546695</v>
      </c>
      <c r="H95" s="2">
        <f t="shared" si="32"/>
        <v>-59.153846153846132</v>
      </c>
      <c r="I95" s="2">
        <f t="shared" si="33"/>
        <v>-59.153846153846132</v>
      </c>
      <c r="M95" s="2">
        <f t="shared" si="34"/>
        <v>92.238841877269792</v>
      </c>
      <c r="N95" s="2">
        <f t="shared" si="35"/>
        <v>9.1922162646738617</v>
      </c>
      <c r="O95" s="2">
        <f t="shared" si="36"/>
        <v>92.238841877269792</v>
      </c>
      <c r="P95" s="2">
        <f t="shared" si="37"/>
        <v>9.1922162646738617</v>
      </c>
      <c r="Q95" s="1">
        <f t="shared" si="42"/>
        <v>45.749791441599356</v>
      </c>
      <c r="R95" s="1">
        <f t="shared" si="43"/>
        <v>45.749791441599356</v>
      </c>
    </row>
    <row r="96" spans="1:18" x14ac:dyDescent="0.25">
      <c r="A96" s="1">
        <v>88</v>
      </c>
      <c r="B96" s="2">
        <f t="shared" si="30"/>
        <v>96.25</v>
      </c>
      <c r="C96" s="2">
        <f t="shared" si="31"/>
        <v>96.25</v>
      </c>
      <c r="D96" s="2">
        <f t="shared" si="38"/>
        <v>17.000187994657313</v>
      </c>
      <c r="E96" s="2">
        <f t="shared" si="39"/>
        <v>-4447.2938400175817</v>
      </c>
      <c r="F96" s="2">
        <f t="shared" si="40"/>
        <v>17.000187994657313</v>
      </c>
      <c r="G96" s="2">
        <f t="shared" si="41"/>
        <v>-4447.2938400175817</v>
      </c>
      <c r="H96" s="2">
        <f t="shared" si="32"/>
        <v>-60.717948717948701</v>
      </c>
      <c r="I96" s="2">
        <f t="shared" si="33"/>
        <v>-60.717948717948701</v>
      </c>
      <c r="M96" s="2">
        <f t="shared" si="34"/>
        <v>92.861033268277254</v>
      </c>
      <c r="N96" s="2">
        <f t="shared" si="35"/>
        <v>8.4651810789627824</v>
      </c>
      <c r="O96" s="2">
        <f t="shared" si="36"/>
        <v>92.861033268277254</v>
      </c>
      <c r="P96" s="2">
        <f t="shared" si="37"/>
        <v>8.4651810789627824</v>
      </c>
      <c r="Q96" s="1">
        <f t="shared" si="42"/>
        <v>45.618167060209238</v>
      </c>
      <c r="R96" s="1">
        <f t="shared" si="43"/>
        <v>45.618167060209238</v>
      </c>
    </row>
    <row r="97" spans="1:18" x14ac:dyDescent="0.25">
      <c r="A97" s="1">
        <v>89</v>
      </c>
      <c r="B97" s="2">
        <f t="shared" si="30"/>
        <v>96.589147286821699</v>
      </c>
      <c r="C97" s="2">
        <f t="shared" si="31"/>
        <v>96.589147286821699</v>
      </c>
      <c r="D97" s="2">
        <f t="shared" si="38"/>
        <v>16.872606095169434</v>
      </c>
      <c r="E97" s="2">
        <f t="shared" si="39"/>
        <v>-5470.9123736361062</v>
      </c>
      <c r="F97" s="2">
        <f t="shared" si="40"/>
        <v>16.872606095169434</v>
      </c>
      <c r="G97" s="2">
        <f t="shared" si="41"/>
        <v>-5470.9123736361062</v>
      </c>
      <c r="H97" s="2">
        <f t="shared" si="32"/>
        <v>-62.28205128205127</v>
      </c>
      <c r="I97" s="2">
        <f t="shared" si="33"/>
        <v>-62.28205128205127</v>
      </c>
      <c r="M97" s="2">
        <f t="shared" si="34"/>
        <v>93.478772710077138</v>
      </c>
      <c r="N97" s="2">
        <f t="shared" si="35"/>
        <v>7.7416542156942416</v>
      </c>
      <c r="O97" s="2">
        <f t="shared" si="36"/>
        <v>93.478772710077138</v>
      </c>
      <c r="P97" s="2">
        <f t="shared" si="37"/>
        <v>7.7416542156942416</v>
      </c>
      <c r="Q97" s="1">
        <f t="shared" si="42"/>
        <v>45.488724993751383</v>
      </c>
      <c r="R97" s="1">
        <f t="shared" si="43"/>
        <v>45.488724993751383</v>
      </c>
    </row>
    <row r="98" spans="1:18" x14ac:dyDescent="0.25">
      <c r="A98" s="1">
        <v>90</v>
      </c>
      <c r="B98" s="2">
        <f t="shared" si="30"/>
        <v>96.923076923076906</v>
      </c>
      <c r="C98" s="2">
        <f t="shared" si="31"/>
        <v>96.923076923076906</v>
      </c>
      <c r="D98" s="2">
        <f t="shared" si="38"/>
        <v>16.747391228734894</v>
      </c>
      <c r="E98" s="2">
        <f t="shared" si="39"/>
        <v>-6858.3979025878052</v>
      </c>
      <c r="F98" s="2">
        <f t="shared" si="40"/>
        <v>16.747391228734894</v>
      </c>
      <c r="G98" s="2">
        <f t="shared" si="41"/>
        <v>-6858.3979025878052</v>
      </c>
      <c r="H98" s="2">
        <f t="shared" si="32"/>
        <v>-63.84615384615384</v>
      </c>
      <c r="I98" s="2">
        <f t="shared" si="33"/>
        <v>-63.84615384615384</v>
      </c>
      <c r="M98" s="2">
        <f t="shared" si="34"/>
        <v>94.092134230398656</v>
      </c>
      <c r="N98" s="2">
        <f t="shared" si="35"/>
        <v>7.021582318199532</v>
      </c>
      <c r="O98" s="2">
        <f t="shared" si="36"/>
        <v>94.092134230398656</v>
      </c>
      <c r="P98" s="2">
        <f t="shared" si="37"/>
        <v>7.021582318199532</v>
      </c>
      <c r="Q98" s="1">
        <f t="shared" si="42"/>
        <v>45.361403691027355</v>
      </c>
      <c r="R98" s="1">
        <f t="shared" si="43"/>
        <v>45.361403691027355</v>
      </c>
    </row>
    <row r="99" spans="1:18" x14ac:dyDescent="0.25">
      <c r="A99" s="1">
        <v>91</v>
      </c>
      <c r="B99" s="2">
        <f t="shared" si="30"/>
        <v>97.251908396946575</v>
      </c>
      <c r="C99" s="2">
        <f t="shared" si="31"/>
        <v>97.251908396946575</v>
      </c>
      <c r="D99" s="2">
        <f t="shared" si="38"/>
        <v>16.624473903604365</v>
      </c>
      <c r="E99" s="2">
        <f t="shared" si="39"/>
        <v>-8797.6790750131604</v>
      </c>
      <c r="F99" s="2">
        <f t="shared" si="40"/>
        <v>16.624473903604365</v>
      </c>
      <c r="G99" s="2">
        <f t="shared" si="41"/>
        <v>-8797.6790750131604</v>
      </c>
      <c r="H99" s="2">
        <f t="shared" si="32"/>
        <v>-65.410256410256409</v>
      </c>
      <c r="I99" s="2">
        <f t="shared" si="33"/>
        <v>-65.410256410256409</v>
      </c>
      <c r="M99" s="2">
        <f t="shared" si="34"/>
        <v>94.701190004808254</v>
      </c>
      <c r="N99" s="2">
        <f t="shared" si="35"/>
        <v>6.3049132891492015</v>
      </c>
      <c r="O99" s="2">
        <f t="shared" si="36"/>
        <v>94.701190004808254</v>
      </c>
      <c r="P99" s="2">
        <f t="shared" si="37"/>
        <v>6.3049132891492015</v>
      </c>
      <c r="Q99" s="1">
        <f t="shared" si="42"/>
        <v>45.236144005088391</v>
      </c>
      <c r="R99" s="1">
        <f t="shared" si="43"/>
        <v>45.236144005088391</v>
      </c>
    </row>
    <row r="100" spans="1:18" x14ac:dyDescent="0.25">
      <c r="A100" s="1">
        <v>92</v>
      </c>
      <c r="B100" s="2">
        <f t="shared" si="30"/>
        <v>97.575757575757578</v>
      </c>
      <c r="C100" s="2">
        <f t="shared" si="31"/>
        <v>97.575757575757578</v>
      </c>
      <c r="D100" s="2">
        <f t="shared" si="38"/>
        <v>16.503787402697231</v>
      </c>
      <c r="E100" s="2">
        <f t="shared" si="39"/>
        <v>-11612.042053422114</v>
      </c>
      <c r="F100" s="2">
        <f t="shared" si="40"/>
        <v>16.503787402697231</v>
      </c>
      <c r="G100" s="2">
        <f t="shared" si="41"/>
        <v>-11612.042053422114</v>
      </c>
      <c r="H100" s="2">
        <f t="shared" si="32"/>
        <v>-66.97435897435895</v>
      </c>
      <c r="I100" s="2">
        <f t="shared" si="33"/>
        <v>-66.97435897435895</v>
      </c>
      <c r="M100" s="2">
        <f t="shared" si="34"/>
        <v>95.306010417697706</v>
      </c>
      <c r="N100" s="2">
        <f t="shared" si="35"/>
        <v>5.5915962509635664</v>
      </c>
      <c r="O100" s="2">
        <f t="shared" si="36"/>
        <v>95.306010417697706</v>
      </c>
      <c r="P100" s="2">
        <f t="shared" si="37"/>
        <v>5.5915962509635664</v>
      </c>
      <c r="Q100" s="1">
        <f t="shared" si="42"/>
        <v>45.112889074223247</v>
      </c>
      <c r="R100" s="1">
        <f t="shared" si="43"/>
        <v>45.112889074223247</v>
      </c>
    </row>
    <row r="101" spans="1:18" x14ac:dyDescent="0.25">
      <c r="A101" s="1">
        <v>93</v>
      </c>
      <c r="B101" s="2">
        <f t="shared" si="30"/>
        <v>97.89473684210526</v>
      </c>
      <c r="C101" s="2">
        <f t="shared" si="31"/>
        <v>97.89473684210526</v>
      </c>
      <c r="D101" s="2">
        <f t="shared" si="38"/>
        <v>16.385267644118326</v>
      </c>
      <c r="E101" s="2">
        <f t="shared" si="39"/>
        <v>-15893.634467495434</v>
      </c>
      <c r="F101" s="2">
        <f t="shared" si="40"/>
        <v>16.385267644118326</v>
      </c>
      <c r="G101" s="2">
        <f t="shared" si="41"/>
        <v>-15893.634467495434</v>
      </c>
      <c r="H101" s="2">
        <f t="shared" si="32"/>
        <v>-68.538461538461519</v>
      </c>
      <c r="I101" s="2">
        <f t="shared" si="33"/>
        <v>-68.538461538461519</v>
      </c>
      <c r="M101" s="2">
        <f t="shared" si="34"/>
        <v>95.906664120799363</v>
      </c>
      <c r="N101" s="2">
        <f t="shared" si="35"/>
        <v>4.8815815077663505</v>
      </c>
      <c r="O101" s="2">
        <f t="shared" si="36"/>
        <v>95.906664120799363</v>
      </c>
      <c r="P101" s="2">
        <f t="shared" si="37"/>
        <v>4.8815815077663505</v>
      </c>
      <c r="Q101" s="1">
        <f t="shared" si="42"/>
        <v>44.991584210045524</v>
      </c>
      <c r="R101" s="1">
        <f t="shared" si="43"/>
        <v>44.991584210045524</v>
      </c>
    </row>
    <row r="102" spans="1:18" x14ac:dyDescent="0.25">
      <c r="A102" s="1">
        <v>94</v>
      </c>
      <c r="B102" s="2">
        <f t="shared" si="30"/>
        <v>98.208955223880594</v>
      </c>
      <c r="C102" s="2">
        <f t="shared" si="31"/>
        <v>98.208955223880594</v>
      </c>
      <c r="D102" s="2">
        <f t="shared" si="38"/>
        <v>16.268853050098389</v>
      </c>
      <c r="E102" s="2">
        <f t="shared" si="39"/>
        <v>-22816.92491638174</v>
      </c>
      <c r="F102" s="2">
        <f t="shared" si="40"/>
        <v>16.268853050098389</v>
      </c>
      <c r="G102" s="2">
        <f t="shared" si="41"/>
        <v>-22816.92491638174</v>
      </c>
      <c r="H102" s="2">
        <f t="shared" si="32"/>
        <v>-70.102564102564088</v>
      </c>
      <c r="I102" s="2">
        <f t="shared" si="33"/>
        <v>-70.102564102564088</v>
      </c>
      <c r="M102" s="2">
        <f t="shared" si="34"/>
        <v>96.503218089346944</v>
      </c>
      <c r="N102" s="2">
        <f t="shared" si="35"/>
        <v>4.1748205088104964</v>
      </c>
      <c r="O102" s="2">
        <f t="shared" si="36"/>
        <v>96.503218089346944</v>
      </c>
      <c r="P102" s="2">
        <f t="shared" si="37"/>
        <v>4.1748205088104964</v>
      </c>
      <c r="Q102" s="1">
        <f t="shared" si="42"/>
        <v>44.872176792186437</v>
      </c>
      <c r="R102" s="1">
        <f t="shared" si="43"/>
        <v>44.872176792186437</v>
      </c>
    </row>
    <row r="103" spans="1:18" x14ac:dyDescent="0.25">
      <c r="A103" s="1">
        <v>95</v>
      </c>
      <c r="B103" s="2">
        <f t="shared" si="30"/>
        <v>98.518518518518519</v>
      </c>
      <c r="C103" s="2">
        <f t="shared" si="31"/>
        <v>98.518518518518519</v>
      </c>
      <c r="D103" s="2">
        <f t="shared" si="38"/>
        <v>16.154484423765904</v>
      </c>
      <c r="E103" s="2">
        <f t="shared" si="39"/>
        <v>-34968.127964058869</v>
      </c>
      <c r="F103" s="2">
        <f t="shared" si="40"/>
        <v>16.154484423765904</v>
      </c>
      <c r="G103" s="2">
        <f t="shared" si="41"/>
        <v>-34968.127964058869</v>
      </c>
      <c r="H103" s="2">
        <f t="shared" si="32"/>
        <v>-71.666666666666657</v>
      </c>
      <c r="I103" s="2">
        <f t="shared" si="33"/>
        <v>-71.666666666666657</v>
      </c>
      <c r="M103" s="2">
        <f t="shared" si="34"/>
        <v>97.095737675994599</v>
      </c>
      <c r="N103" s="2">
        <f t="shared" si="35"/>
        <v>3.4712658133080345</v>
      </c>
      <c r="O103" s="2">
        <f t="shared" si="36"/>
        <v>97.095737675994599</v>
      </c>
      <c r="P103" s="2">
        <f t="shared" si="37"/>
        <v>3.4712658133080345</v>
      </c>
      <c r="Q103" s="1">
        <f t="shared" si="42"/>
        <v>44.754616169138266</v>
      </c>
      <c r="R103" s="1">
        <f t="shared" si="43"/>
        <v>44.754616169138266</v>
      </c>
    </row>
    <row r="104" spans="1:18" x14ac:dyDescent="0.25">
      <c r="A104" s="1">
        <v>96</v>
      </c>
      <c r="B104" s="2">
        <f t="shared" ref="B104:B135" si="44">(alpha0*(1-beta0)*$A104*SCapital0)/(alpha0*(1-beta0)*$A104+beta0*(1-alpha0)*MAX(SLab0-$A104,0))</f>
        <v>98.82352941176471</v>
      </c>
      <c r="C104" s="2">
        <f t="shared" ref="C104:C135" si="45">(alpha1*(1-beta1)*$A104*SCapital1)/(alpha1*(1-beta1)*$A104+beta1*(1-alpha1)*MAX(SLab1-$A104,0))</f>
        <v>98.82352941176471</v>
      </c>
      <c r="D104" s="2">
        <f t="shared" si="38"/>
        <v>16.042104833205755</v>
      </c>
      <c r="E104" s="2">
        <f t="shared" si="39"/>
        <v>-58924.99328144193</v>
      </c>
      <c r="F104" s="2">
        <f t="shared" si="40"/>
        <v>16.042104833205755</v>
      </c>
      <c r="G104" s="2">
        <f t="shared" si="41"/>
        <v>-58924.99328144193</v>
      </c>
      <c r="H104" s="2">
        <f t="shared" ref="H104:H135" si="46">interc0-mrt0*A104</f>
        <v>-73.230769230769226</v>
      </c>
      <c r="I104" s="2">
        <f t="shared" ref="I104:I135" si="47">interc1-mrts1*A104</f>
        <v>-73.230769230769226</v>
      </c>
      <c r="M104" s="2">
        <f t="shared" ref="M104:M135" si="48">TechA0*(B104^alpha0)*(A104^(1-alpha0))</f>
        <v>97.684286662599376</v>
      </c>
      <c r="N104" s="2">
        <f t="shared" ref="N104:N135" si="49">TechB0*(MAX(SCapital0-B104,0)^beta0)*(MAX(SLab0-A104,0)^(1-beta0))</f>
        <v>2.7708710566001025</v>
      </c>
      <c r="O104" s="2">
        <f t="shared" ref="O104:O135" si="50">TechA1*(C104^alpha1)*(A104^(1-alpha1))</f>
        <v>97.684286662599376</v>
      </c>
      <c r="P104" s="2">
        <f t="shared" ref="P104:P135" si="51">TechB1*(MAX(SCapital1-C104,0)^beta1)*(MAX(SLab1-A104,0)^(1-beta1))</f>
        <v>2.7708710566001025</v>
      </c>
      <c r="Q104" s="1">
        <f t="shared" si="42"/>
        <v>44.638853564829205</v>
      </c>
      <c r="R104" s="1">
        <f t="shared" si="43"/>
        <v>44.638853564829205</v>
      </c>
    </row>
    <row r="105" spans="1:18" x14ac:dyDescent="0.25">
      <c r="A105" s="1">
        <v>97</v>
      </c>
      <c r="B105" s="2">
        <f t="shared" si="44"/>
        <v>99.124087591240865</v>
      </c>
      <c r="C105" s="2">
        <f t="shared" si="45"/>
        <v>99.124087591240865</v>
      </c>
      <c r="D105" s="2">
        <f t="shared" ref="D105:D136" si="52">(X1e0/(TechA0*($A105^(1-alpha0))))^(1/alpha0)</f>
        <v>15.931659502302793</v>
      </c>
      <c r="E105" s="2">
        <f t="shared" ref="E105:E136" si="53">SCapital0-(X2e0/(TechB0*(MAX(SLab0-$A105,0)^(1-beta0))))^(1/beta0)</f>
        <v>-115394.06440403854</v>
      </c>
      <c r="F105" s="2">
        <f t="shared" ref="F105:F136" si="54">(X1e1/(TechA1*($A105^(1-alpha1))))^(1/alpha1)</f>
        <v>15.931659502302793</v>
      </c>
      <c r="G105" s="2">
        <f t="shared" ref="G105:G136" si="55">SCapital1-(X2e1/(TechB1*((SLab1-$A105)^(1-beta1))))^(1/beta1)</f>
        <v>-115394.06440403854</v>
      </c>
      <c r="H105" s="2">
        <f t="shared" si="46"/>
        <v>-74.794871794871796</v>
      </c>
      <c r="I105" s="2">
        <f t="shared" si="47"/>
        <v>-74.794871794871796</v>
      </c>
      <c r="M105" s="2">
        <f t="shared" si="48"/>
        <v>98.268927309968049</v>
      </c>
      <c r="N105" s="2">
        <f t="shared" si="49"/>
        <v>2.0735909176063507</v>
      </c>
      <c r="O105" s="2">
        <f t="shared" si="50"/>
        <v>98.268927309968049</v>
      </c>
      <c r="P105" s="2">
        <f t="shared" si="51"/>
        <v>2.0735909176063507</v>
      </c>
      <c r="Q105" s="1">
        <f t="shared" ref="Q105:Q136" si="56">(util0/(M105^gamma0))^(1/(1-gamma0))</f>
        <v>44.524841990543642</v>
      </c>
      <c r="R105" s="1">
        <f t="shared" ref="R105:R136" si="57">(util1/(O105^gamma1))^(1/(1-gamma1))</f>
        <v>44.524841990543642</v>
      </c>
    </row>
    <row r="106" spans="1:18" x14ac:dyDescent="0.25">
      <c r="A106" s="1">
        <v>98</v>
      </c>
      <c r="B106" s="2">
        <f t="shared" si="44"/>
        <v>99.420289855072468</v>
      </c>
      <c r="C106" s="2">
        <f t="shared" si="45"/>
        <v>99.420289855072468</v>
      </c>
      <c r="D106" s="2">
        <f t="shared" si="52"/>
        <v>15.823095707908069</v>
      </c>
      <c r="E106" s="2">
        <f t="shared" si="53"/>
        <v>-297367.32602076832</v>
      </c>
      <c r="F106" s="2">
        <f t="shared" si="54"/>
        <v>15.823095707908069</v>
      </c>
      <c r="G106" s="2">
        <f t="shared" si="55"/>
        <v>-297367.32602076832</v>
      </c>
      <c r="H106" s="2">
        <f t="shared" si="46"/>
        <v>-76.358974358974336</v>
      </c>
      <c r="I106" s="2">
        <f t="shared" si="47"/>
        <v>-76.358974358974336</v>
      </c>
      <c r="M106" s="2">
        <f t="shared" si="48"/>
        <v>98.849720405662055</v>
      </c>
      <c r="N106" s="2">
        <f t="shared" si="49"/>
        <v>1.3793810874961474</v>
      </c>
      <c r="O106" s="2">
        <f t="shared" si="50"/>
        <v>98.849720405662055</v>
      </c>
      <c r="P106" s="2">
        <f t="shared" si="51"/>
        <v>1.3793810874961474</v>
      </c>
      <c r="Q106" s="1">
        <f t="shared" si="56"/>
        <v>44.412536161830339</v>
      </c>
      <c r="R106" s="1">
        <f t="shared" si="57"/>
        <v>44.412536161830339</v>
      </c>
    </row>
    <row r="107" spans="1:18" x14ac:dyDescent="0.25">
      <c r="A107" s="1">
        <v>99</v>
      </c>
      <c r="B107" s="2">
        <f t="shared" si="44"/>
        <v>99.712230215827347</v>
      </c>
      <c r="C107" s="2">
        <f t="shared" si="45"/>
        <v>99.712230215827347</v>
      </c>
      <c r="D107" s="2">
        <f t="shared" si="52"/>
        <v>15.716362682901277</v>
      </c>
      <c r="E107" s="2">
        <f t="shared" si="53"/>
        <v>-1499041.3828380289</v>
      </c>
      <c r="F107" s="2">
        <f t="shared" si="54"/>
        <v>15.716362682901277</v>
      </c>
      <c r="G107" s="2">
        <f t="shared" si="55"/>
        <v>-1499041.3828380289</v>
      </c>
      <c r="H107" s="2">
        <f t="shared" si="46"/>
        <v>-77.923076923076906</v>
      </c>
      <c r="I107" s="2">
        <f t="shared" si="47"/>
        <v>-77.923076923076906</v>
      </c>
      <c r="M107" s="2">
        <f t="shared" si="48"/>
        <v>99.426725309951081</v>
      </c>
      <c r="N107" s="2">
        <f t="shared" si="49"/>
        <v>0.68819823952727466</v>
      </c>
      <c r="O107" s="2">
        <f t="shared" si="50"/>
        <v>99.426725309951081</v>
      </c>
      <c r="P107" s="2">
        <f t="shared" si="51"/>
        <v>0.68819823952727466</v>
      </c>
      <c r="Q107" s="1">
        <f t="shared" si="56"/>
        <v>44.301892420069443</v>
      </c>
      <c r="R107" s="1">
        <f t="shared" si="57"/>
        <v>44.301892420069443</v>
      </c>
    </row>
    <row r="108" spans="1:18" x14ac:dyDescent="0.25">
      <c r="A108" s="1">
        <v>100</v>
      </c>
      <c r="B108" s="2">
        <f t="shared" si="44"/>
        <v>100</v>
      </c>
      <c r="C108" s="2">
        <f t="shared" si="45"/>
        <v>100</v>
      </c>
      <c r="D108" s="2">
        <f t="shared" si="52"/>
        <v>15.61141152475547</v>
      </c>
      <c r="E108" s="2" t="e">
        <f t="shared" si="53"/>
        <v>#DIV/0!</v>
      </c>
      <c r="F108" s="2">
        <f t="shared" si="54"/>
        <v>15.61141152475547</v>
      </c>
      <c r="G108" s="2" t="e">
        <f t="shared" si="55"/>
        <v>#DIV/0!</v>
      </c>
      <c r="H108" s="2">
        <f t="shared" si="46"/>
        <v>-79.487179487179475</v>
      </c>
      <c r="I108" s="2">
        <f t="shared" si="47"/>
        <v>-79.487179487179475</v>
      </c>
      <c r="M108" s="2">
        <f t="shared" si="48"/>
        <v>100.00000000000004</v>
      </c>
      <c r="N108" s="2">
        <f t="shared" si="49"/>
        <v>0</v>
      </c>
      <c r="O108" s="2">
        <f t="shared" si="50"/>
        <v>100.00000000000004</v>
      </c>
      <c r="P108" s="2">
        <f t="shared" si="51"/>
        <v>0</v>
      </c>
      <c r="Q108" s="1">
        <f t="shared" si="56"/>
        <v>44.192868658393323</v>
      </c>
      <c r="R108" s="1">
        <f t="shared" si="57"/>
        <v>44.192868658393323</v>
      </c>
    </row>
    <row r="109" spans="1:18" x14ac:dyDescent="0.25">
      <c r="A109" s="1">
        <v>101</v>
      </c>
      <c r="B109" s="2">
        <f t="shared" si="44"/>
        <v>100</v>
      </c>
      <c r="C109" s="2">
        <f t="shared" si="45"/>
        <v>100</v>
      </c>
      <c r="D109" s="2">
        <f t="shared" si="52"/>
        <v>15.508195109240548</v>
      </c>
      <c r="E109" s="2" t="e">
        <f t="shared" si="53"/>
        <v>#DIV/0!</v>
      </c>
      <c r="F109" s="2">
        <f t="shared" si="54"/>
        <v>15.508195109240548</v>
      </c>
      <c r="G109" s="2" t="e">
        <f t="shared" si="55"/>
        <v>#NUM!</v>
      </c>
      <c r="H109" s="2">
        <f t="shared" si="46"/>
        <v>-81.051282051282044</v>
      </c>
      <c r="I109" s="2">
        <f t="shared" si="47"/>
        <v>-81.051282051282044</v>
      </c>
      <c r="M109" s="2">
        <f t="shared" si="48"/>
        <v>100.39880635869727</v>
      </c>
      <c r="N109" s="2">
        <f t="shared" si="49"/>
        <v>0</v>
      </c>
      <c r="O109" s="2">
        <f t="shared" si="50"/>
        <v>100.39880635869727</v>
      </c>
      <c r="P109" s="2">
        <f t="shared" si="51"/>
        <v>0</v>
      </c>
      <c r="Q109" s="1">
        <f t="shared" si="56"/>
        <v>44.117550000932312</v>
      </c>
      <c r="R109" s="1">
        <f t="shared" si="57"/>
        <v>44.117550000932312</v>
      </c>
    </row>
    <row r="110" spans="1:18" x14ac:dyDescent="0.25">
      <c r="A110" s="1">
        <v>102</v>
      </c>
      <c r="B110" s="2">
        <f t="shared" si="44"/>
        <v>100.00000000000001</v>
      </c>
      <c r="C110" s="2">
        <f t="shared" si="45"/>
        <v>100.00000000000001</v>
      </c>
      <c r="D110" s="2">
        <f t="shared" si="52"/>
        <v>15.406668008928763</v>
      </c>
      <c r="E110" s="2" t="e">
        <f t="shared" si="53"/>
        <v>#DIV/0!</v>
      </c>
      <c r="F110" s="2">
        <f t="shared" si="54"/>
        <v>15.406668008928763</v>
      </c>
      <c r="G110" s="2" t="e">
        <f t="shared" si="55"/>
        <v>#NUM!</v>
      </c>
      <c r="H110" s="2">
        <f t="shared" si="46"/>
        <v>-82.615384615384613</v>
      </c>
      <c r="I110" s="2">
        <f t="shared" si="47"/>
        <v>-82.615384615384613</v>
      </c>
      <c r="M110" s="2">
        <f t="shared" si="48"/>
        <v>100.79525054384</v>
      </c>
      <c r="N110" s="2">
        <f t="shared" si="49"/>
        <v>0</v>
      </c>
      <c r="O110" s="2">
        <f t="shared" si="50"/>
        <v>100.79525054384</v>
      </c>
      <c r="P110" s="2">
        <f t="shared" si="51"/>
        <v>0</v>
      </c>
      <c r="Q110" s="1">
        <f t="shared" si="56"/>
        <v>44.043099888003432</v>
      </c>
      <c r="R110" s="1">
        <f t="shared" si="57"/>
        <v>44.043099888003432</v>
      </c>
    </row>
    <row r="111" spans="1:18" x14ac:dyDescent="0.25">
      <c r="A111" s="1">
        <v>103</v>
      </c>
      <c r="B111" s="2">
        <f t="shared" si="44"/>
        <v>100</v>
      </c>
      <c r="C111" s="2">
        <f t="shared" si="45"/>
        <v>100</v>
      </c>
      <c r="D111" s="2">
        <f t="shared" si="52"/>
        <v>15.306786416191217</v>
      </c>
      <c r="E111" s="2" t="e">
        <f t="shared" si="53"/>
        <v>#DIV/0!</v>
      </c>
      <c r="F111" s="2">
        <f t="shared" si="54"/>
        <v>15.306786416191217</v>
      </c>
      <c r="G111" s="2" t="e">
        <f t="shared" si="55"/>
        <v>#NUM!</v>
      </c>
      <c r="H111" s="2">
        <f t="shared" si="46"/>
        <v>-84.179487179487154</v>
      </c>
      <c r="I111" s="2">
        <f t="shared" si="47"/>
        <v>-84.179487179487154</v>
      </c>
      <c r="M111" s="2">
        <f t="shared" si="48"/>
        <v>101.18936950154857</v>
      </c>
      <c r="N111" s="2">
        <f t="shared" si="49"/>
        <v>0</v>
      </c>
      <c r="O111" s="2">
        <f t="shared" si="50"/>
        <v>101.18936950154857</v>
      </c>
      <c r="P111" s="2">
        <f t="shared" si="51"/>
        <v>0</v>
      </c>
      <c r="Q111" s="1">
        <f t="shared" si="56"/>
        <v>43.969499934765324</v>
      </c>
      <c r="R111" s="1">
        <f t="shared" si="57"/>
        <v>43.969499934765324</v>
      </c>
    </row>
    <row r="112" spans="1:18" x14ac:dyDescent="0.25">
      <c r="A112" s="1">
        <v>104</v>
      </c>
      <c r="B112" s="2">
        <f t="shared" si="44"/>
        <v>100</v>
      </c>
      <c r="C112" s="2">
        <f t="shared" si="45"/>
        <v>100</v>
      </c>
      <c r="D112" s="2">
        <f t="shared" si="52"/>
        <v>15.208508070396835</v>
      </c>
      <c r="E112" s="2" t="e">
        <f t="shared" si="53"/>
        <v>#DIV/0!</v>
      </c>
      <c r="F112" s="2">
        <f t="shared" si="54"/>
        <v>15.208508070396835</v>
      </c>
      <c r="G112" s="2" t="e">
        <f t="shared" si="55"/>
        <v>#NUM!</v>
      </c>
      <c r="H112" s="2">
        <f t="shared" si="46"/>
        <v>-85.743589743589723</v>
      </c>
      <c r="I112" s="2">
        <f t="shared" si="47"/>
        <v>-85.743589743589723</v>
      </c>
      <c r="M112" s="2">
        <f t="shared" si="48"/>
        <v>101.58119924799415</v>
      </c>
      <c r="N112" s="2">
        <f t="shared" si="49"/>
        <v>0</v>
      </c>
      <c r="O112" s="2">
        <f t="shared" si="50"/>
        <v>101.58119924799415</v>
      </c>
      <c r="P112" s="2">
        <f t="shared" si="51"/>
        <v>0</v>
      </c>
      <c r="Q112" s="1">
        <f t="shared" si="56"/>
        <v>43.896732319270903</v>
      </c>
      <c r="R112" s="1">
        <f t="shared" si="57"/>
        <v>43.896732319270903</v>
      </c>
    </row>
    <row r="113" spans="1:18" x14ac:dyDescent="0.25">
      <c r="A113" s="1">
        <v>105</v>
      </c>
      <c r="B113" s="2">
        <f t="shared" si="44"/>
        <v>100</v>
      </c>
      <c r="C113" s="2">
        <f t="shared" si="45"/>
        <v>100</v>
      </c>
      <c r="D113" s="2">
        <f t="shared" si="52"/>
        <v>15.111792189046563</v>
      </c>
      <c r="E113" s="2" t="e">
        <f t="shared" si="53"/>
        <v>#DIV/0!</v>
      </c>
      <c r="F113" s="2">
        <f t="shared" si="54"/>
        <v>15.111792189046563</v>
      </c>
      <c r="G113" s="2" t="e">
        <f t="shared" si="55"/>
        <v>#NUM!</v>
      </c>
      <c r="H113" s="2">
        <f t="shared" si="46"/>
        <v>-87.307692307692292</v>
      </c>
      <c r="I113" s="2">
        <f t="shared" si="47"/>
        <v>-87.307692307692292</v>
      </c>
      <c r="M113" s="2">
        <f t="shared" si="48"/>
        <v>101.9707749014984</v>
      </c>
      <c r="N113" s="2">
        <f t="shared" si="49"/>
        <v>0</v>
      </c>
      <c r="O113" s="2">
        <f t="shared" si="50"/>
        <v>101.9707749014984</v>
      </c>
      <c r="P113" s="2">
        <f t="shared" si="51"/>
        <v>0</v>
      </c>
      <c r="Q113" s="1">
        <f t="shared" si="56"/>
        <v>43.824779760015346</v>
      </c>
      <c r="R113" s="1">
        <f t="shared" si="57"/>
        <v>43.824779760015346</v>
      </c>
    </row>
    <row r="114" spans="1:18" x14ac:dyDescent="0.25">
      <c r="A114" s="1">
        <v>106</v>
      </c>
      <c r="B114" s="2">
        <f t="shared" si="44"/>
        <v>100.00000000000001</v>
      </c>
      <c r="C114" s="2">
        <f t="shared" si="45"/>
        <v>100.00000000000001</v>
      </c>
      <c r="D114" s="2">
        <f t="shared" si="52"/>
        <v>15.016599402594951</v>
      </c>
      <c r="E114" s="2" t="e">
        <f t="shared" si="53"/>
        <v>#DIV/0!</v>
      </c>
      <c r="F114" s="2">
        <f t="shared" si="54"/>
        <v>15.016599402594951</v>
      </c>
      <c r="G114" s="2" t="e">
        <f t="shared" si="55"/>
        <v>#NUM!</v>
      </c>
      <c r="H114" s="2">
        <f t="shared" si="46"/>
        <v>-88.871794871794862</v>
      </c>
      <c r="I114" s="2">
        <f t="shared" si="47"/>
        <v>-88.871794871794862</v>
      </c>
      <c r="M114" s="2">
        <f t="shared" si="48"/>
        <v>102.35813071323072</v>
      </c>
      <c r="N114" s="2">
        <f t="shared" si="49"/>
        <v>0</v>
      </c>
      <c r="O114" s="2">
        <f t="shared" si="50"/>
        <v>102.35813071323072</v>
      </c>
      <c r="P114" s="2">
        <f t="shared" si="51"/>
        <v>0</v>
      </c>
      <c r="Q114" s="1">
        <f t="shared" si="56"/>
        <v>43.753625494583979</v>
      </c>
      <c r="R114" s="1">
        <f t="shared" si="57"/>
        <v>43.753625494583979</v>
      </c>
    </row>
    <row r="115" spans="1:18" x14ac:dyDescent="0.25">
      <c r="A115" s="1">
        <v>107</v>
      </c>
      <c r="B115" s="2">
        <f t="shared" si="44"/>
        <v>100</v>
      </c>
      <c r="C115" s="2">
        <f t="shared" si="45"/>
        <v>100</v>
      </c>
      <c r="D115" s="2">
        <f t="shared" si="52"/>
        <v>14.922891692729047</v>
      </c>
      <c r="E115" s="2" t="e">
        <f t="shared" si="53"/>
        <v>#DIV/0!</v>
      </c>
      <c r="F115" s="2">
        <f t="shared" si="54"/>
        <v>14.922891692729047</v>
      </c>
      <c r="G115" s="2" t="e">
        <f t="shared" si="55"/>
        <v>#NUM!</v>
      </c>
      <c r="H115" s="2">
        <f t="shared" si="46"/>
        <v>-90.435897435897431</v>
      </c>
      <c r="I115" s="2">
        <f t="shared" si="47"/>
        <v>-90.435897435897431</v>
      </c>
      <c r="M115" s="2">
        <f t="shared" si="48"/>
        <v>102.74330009657686</v>
      </c>
      <c r="N115" s="2">
        <f t="shared" si="49"/>
        <v>0</v>
      </c>
      <c r="O115" s="2">
        <f t="shared" si="50"/>
        <v>102.74330009657686</v>
      </c>
      <c r="P115" s="2">
        <f t="shared" si="51"/>
        <v>0</v>
      </c>
      <c r="Q115" s="1">
        <f t="shared" si="56"/>
        <v>43.683253259335928</v>
      </c>
      <c r="R115" s="1">
        <f t="shared" si="57"/>
        <v>43.683253259335928</v>
      </c>
    </row>
    <row r="116" spans="1:18" x14ac:dyDescent="0.25">
      <c r="A116" s="1">
        <v>108</v>
      </c>
      <c r="B116" s="2">
        <f t="shared" si="44"/>
        <v>100</v>
      </c>
      <c r="C116" s="2">
        <f t="shared" si="45"/>
        <v>100</v>
      </c>
      <c r="D116" s="2">
        <f t="shared" si="52"/>
        <v>14.830632333890696</v>
      </c>
      <c r="E116" s="2" t="e">
        <f t="shared" si="53"/>
        <v>#DIV/0!</v>
      </c>
      <c r="F116" s="2">
        <f t="shared" si="54"/>
        <v>14.830632333890696</v>
      </c>
      <c r="G116" s="2" t="e">
        <f t="shared" si="55"/>
        <v>#NUM!</v>
      </c>
      <c r="H116" s="2">
        <f t="shared" si="46"/>
        <v>-92</v>
      </c>
      <c r="I116" s="2">
        <f t="shared" si="47"/>
        <v>-92</v>
      </c>
      <c r="M116" s="2">
        <f t="shared" si="48"/>
        <v>103.12631565524875</v>
      </c>
      <c r="N116" s="2">
        <f t="shared" si="49"/>
        <v>0</v>
      </c>
      <c r="O116" s="2">
        <f t="shared" si="50"/>
        <v>103.12631565524875</v>
      </c>
      <c r="P116" s="2">
        <f t="shared" si="51"/>
        <v>0</v>
      </c>
      <c r="Q116" s="1">
        <f t="shared" si="56"/>
        <v>43.613647270064561</v>
      </c>
      <c r="R116" s="1">
        <f t="shared" si="57"/>
        <v>43.613647270064561</v>
      </c>
    </row>
    <row r="117" spans="1:18" x14ac:dyDescent="0.25">
      <c r="A117" s="1">
        <v>109</v>
      </c>
      <c r="B117" s="2">
        <f t="shared" si="44"/>
        <v>100</v>
      </c>
      <c r="C117" s="2">
        <f t="shared" si="45"/>
        <v>100</v>
      </c>
      <c r="D117" s="2">
        <f t="shared" si="52"/>
        <v>14.739785837843758</v>
      </c>
      <c r="E117" s="2" t="e">
        <f t="shared" si="53"/>
        <v>#DIV/0!</v>
      </c>
      <c r="F117" s="2">
        <f t="shared" si="54"/>
        <v>14.739785837843758</v>
      </c>
      <c r="G117" s="2" t="e">
        <f t="shared" si="55"/>
        <v>#NUM!</v>
      </c>
      <c r="H117" s="2">
        <f t="shared" si="46"/>
        <v>-93.564102564102541</v>
      </c>
      <c r="I117" s="2">
        <f t="shared" si="47"/>
        <v>-93.564102564102541</v>
      </c>
      <c r="M117" s="2">
        <f t="shared" si="48"/>
        <v>103.50720921019992</v>
      </c>
      <c r="N117" s="2">
        <f t="shared" si="49"/>
        <v>0</v>
      </c>
      <c r="O117" s="2">
        <f t="shared" si="50"/>
        <v>103.50720921019992</v>
      </c>
      <c r="P117" s="2">
        <f t="shared" si="51"/>
        <v>0</v>
      </c>
      <c r="Q117" s="1">
        <f t="shared" si="56"/>
        <v>43.544792203579057</v>
      </c>
      <c r="R117" s="1">
        <f t="shared" si="57"/>
        <v>43.544792203579057</v>
      </c>
    </row>
    <row r="118" spans="1:18" x14ac:dyDescent="0.25">
      <c r="A118" s="1">
        <v>110</v>
      </c>
      <c r="B118" s="2">
        <f t="shared" si="44"/>
        <v>100.00000000000001</v>
      </c>
      <c r="C118" s="2">
        <f t="shared" si="45"/>
        <v>100.00000000000001</v>
      </c>
      <c r="D118" s="2">
        <f t="shared" si="52"/>
        <v>14.650317901101312</v>
      </c>
      <c r="E118" s="2" t="e">
        <f t="shared" si="53"/>
        <v>#DIV/0!</v>
      </c>
      <c r="F118" s="2">
        <f t="shared" si="54"/>
        <v>14.650317901101312</v>
      </c>
      <c r="G118" s="2" t="e">
        <f t="shared" si="55"/>
        <v>#NUM!</v>
      </c>
      <c r="H118" s="2">
        <f t="shared" si="46"/>
        <v>-95.12820512820511</v>
      </c>
      <c r="I118" s="2">
        <f t="shared" si="47"/>
        <v>-95.12820512820511</v>
      </c>
      <c r="M118" s="2">
        <f t="shared" si="48"/>
        <v>103.88601182540849</v>
      </c>
      <c r="N118" s="2">
        <f t="shared" si="49"/>
        <v>0</v>
      </c>
      <c r="O118" s="2">
        <f t="shared" si="50"/>
        <v>103.88601182540849</v>
      </c>
      <c r="P118" s="2">
        <f t="shared" si="51"/>
        <v>0</v>
      </c>
      <c r="Q118" s="1">
        <f t="shared" si="56"/>
        <v>43.476673180155053</v>
      </c>
      <c r="R118" s="1">
        <f t="shared" si="57"/>
        <v>43.476673180155053</v>
      </c>
    </row>
    <row r="119" spans="1:18" x14ac:dyDescent="0.25">
      <c r="A119" s="1">
        <v>111</v>
      </c>
      <c r="B119" s="2">
        <f t="shared" si="44"/>
        <v>100</v>
      </c>
      <c r="C119" s="2">
        <f t="shared" si="45"/>
        <v>100</v>
      </c>
      <c r="D119" s="2">
        <f t="shared" si="52"/>
        <v>14.562195355040821</v>
      </c>
      <c r="E119" s="2" t="e">
        <f t="shared" si="53"/>
        <v>#DIV/0!</v>
      </c>
      <c r="F119" s="2">
        <f t="shared" si="54"/>
        <v>14.562195355040821</v>
      </c>
      <c r="G119" s="2" t="e">
        <f t="shared" si="55"/>
        <v>#NUM!</v>
      </c>
      <c r="H119" s="2">
        <f t="shared" si="46"/>
        <v>-96.692307692307679</v>
      </c>
      <c r="I119" s="2">
        <f t="shared" si="47"/>
        <v>-96.692307692307679</v>
      </c>
      <c r="M119" s="2">
        <f t="shared" si="48"/>
        <v>104.26275383258445</v>
      </c>
      <c r="N119" s="2">
        <f t="shared" si="49"/>
        <v>0</v>
      </c>
      <c r="O119" s="2">
        <f t="shared" si="50"/>
        <v>104.26275383258445</v>
      </c>
      <c r="P119" s="2">
        <f t="shared" si="51"/>
        <v>0</v>
      </c>
      <c r="Q119" s="1">
        <f t="shared" si="56"/>
        <v>43.409275746806046</v>
      </c>
      <c r="R119" s="1">
        <f t="shared" si="57"/>
        <v>43.409275746806046</v>
      </c>
    </row>
    <row r="120" spans="1:18" x14ac:dyDescent="0.25">
      <c r="A120" s="1">
        <v>112</v>
      </c>
      <c r="B120" s="2">
        <f t="shared" si="44"/>
        <v>100</v>
      </c>
      <c r="C120" s="2">
        <f t="shared" si="45"/>
        <v>100</v>
      </c>
      <c r="D120" s="2">
        <f t="shared" si="52"/>
        <v>14.475386118547</v>
      </c>
      <c r="E120" s="2" t="e">
        <f t="shared" si="53"/>
        <v>#DIV/0!</v>
      </c>
      <c r="F120" s="2">
        <f t="shared" si="54"/>
        <v>14.475386118547</v>
      </c>
      <c r="G120" s="2" t="e">
        <f t="shared" si="55"/>
        <v>#NUM!</v>
      </c>
      <c r="H120" s="2">
        <f t="shared" si="46"/>
        <v>-98.256410256410248</v>
      </c>
      <c r="I120" s="2">
        <f t="shared" si="47"/>
        <v>-98.256410256410248</v>
      </c>
      <c r="M120" s="2">
        <f t="shared" si="48"/>
        <v>104.63746485485606</v>
      </c>
      <c r="N120" s="2">
        <f t="shared" si="49"/>
        <v>0</v>
      </c>
      <c r="O120" s="2">
        <f t="shared" si="50"/>
        <v>104.63746485485606</v>
      </c>
      <c r="P120" s="2">
        <f t="shared" si="51"/>
        <v>0</v>
      </c>
      <c r="Q120" s="1">
        <f t="shared" si="56"/>
        <v>43.342585861330043</v>
      </c>
      <c r="R120" s="1">
        <f t="shared" si="57"/>
        <v>43.342585861330043</v>
      </c>
    </row>
    <row r="121" spans="1:18" x14ac:dyDescent="0.25">
      <c r="A121" s="1">
        <v>113</v>
      </c>
      <c r="B121" s="2">
        <f t="shared" si="44"/>
        <v>100</v>
      </c>
      <c r="C121" s="2">
        <f t="shared" si="45"/>
        <v>100</v>
      </c>
      <c r="D121" s="2">
        <f t="shared" si="52"/>
        <v>14.389859153033154</v>
      </c>
      <c r="E121" s="2" t="e">
        <f t="shared" si="53"/>
        <v>#DIV/0!</v>
      </c>
      <c r="F121" s="2">
        <f t="shared" si="54"/>
        <v>14.389859153033154</v>
      </c>
      <c r="G121" s="2" t="e">
        <f t="shared" si="55"/>
        <v>#NUM!</v>
      </c>
      <c r="H121" s="2">
        <f t="shared" si="46"/>
        <v>-99.820512820512818</v>
      </c>
      <c r="I121" s="2">
        <f t="shared" si="47"/>
        <v>-99.820512820512818</v>
      </c>
      <c r="M121" s="2">
        <f t="shared" si="48"/>
        <v>105.01017382948585</v>
      </c>
      <c r="N121" s="2">
        <f t="shared" si="49"/>
        <v>0</v>
      </c>
      <c r="O121" s="2">
        <f t="shared" si="50"/>
        <v>105.01017382948585</v>
      </c>
      <c r="P121" s="2">
        <f t="shared" si="51"/>
        <v>0</v>
      </c>
      <c r="Q121" s="1">
        <f t="shared" si="56"/>
        <v>43.276589877089208</v>
      </c>
      <c r="R121" s="1">
        <f t="shared" si="57"/>
        <v>43.276589877089208</v>
      </c>
    </row>
    <row r="122" spans="1:18" x14ac:dyDescent="0.25">
      <c r="A122" s="1">
        <v>114</v>
      </c>
      <c r="B122" s="2">
        <f t="shared" si="44"/>
        <v>100.00000000000001</v>
      </c>
      <c r="C122" s="2">
        <f t="shared" si="45"/>
        <v>100.00000000000001</v>
      </c>
      <c r="D122" s="2">
        <f t="shared" si="52"/>
        <v>14.305584419701548</v>
      </c>
      <c r="E122" s="2" t="e">
        <f t="shared" si="53"/>
        <v>#DIV/0!</v>
      </c>
      <c r="F122" s="2">
        <f t="shared" si="54"/>
        <v>14.305584419701548</v>
      </c>
      <c r="G122" s="2" t="e">
        <f t="shared" si="55"/>
        <v>#NUM!</v>
      </c>
      <c r="H122" s="2">
        <f t="shared" si="46"/>
        <v>-101.38461538461539</v>
      </c>
      <c r="I122" s="2">
        <f t="shared" si="47"/>
        <v>-101.38461538461539</v>
      </c>
      <c r="M122" s="2">
        <f t="shared" si="48"/>
        <v>105.38090902966405</v>
      </c>
      <c r="N122" s="2">
        <f t="shared" si="49"/>
        <v>0</v>
      </c>
      <c r="O122" s="2">
        <f t="shared" si="50"/>
        <v>105.38090902966405</v>
      </c>
      <c r="P122" s="2">
        <f t="shared" si="51"/>
        <v>0</v>
      </c>
      <c r="Q122" s="1">
        <f t="shared" si="56"/>
        <v>43.211274528482328</v>
      </c>
      <c r="R122" s="1">
        <f t="shared" si="57"/>
        <v>43.211274528482328</v>
      </c>
    </row>
    <row r="123" spans="1:18" x14ac:dyDescent="0.25">
      <c r="A123" s="1">
        <v>115</v>
      </c>
      <c r="B123" s="2">
        <f t="shared" si="44"/>
        <v>100</v>
      </c>
      <c r="C123" s="2">
        <f t="shared" si="45"/>
        <v>100</v>
      </c>
      <c r="D123" s="2">
        <f t="shared" si="52"/>
        <v>14.222532838912841</v>
      </c>
      <c r="E123" s="2" t="e">
        <f t="shared" si="53"/>
        <v>#DIV/0!</v>
      </c>
      <c r="F123" s="2">
        <f t="shared" si="54"/>
        <v>14.222532838912841</v>
      </c>
      <c r="G123" s="2" t="e">
        <f t="shared" si="55"/>
        <v>#NUM!</v>
      </c>
      <c r="H123" s="2">
        <f t="shared" si="46"/>
        <v>-102.94871794871793</v>
      </c>
      <c r="I123" s="2">
        <f t="shared" si="47"/>
        <v>-102.94871794871793</v>
      </c>
      <c r="M123" s="2">
        <f t="shared" si="48"/>
        <v>105.74969808542544</v>
      </c>
      <c r="N123" s="2">
        <f t="shared" si="49"/>
        <v>0</v>
      </c>
      <c r="O123" s="2">
        <f t="shared" si="50"/>
        <v>105.74969808542544</v>
      </c>
      <c r="P123" s="2">
        <f t="shared" si="51"/>
        <v>0</v>
      </c>
      <c r="Q123" s="1">
        <f t="shared" si="56"/>
        <v>43.146626917072979</v>
      </c>
      <c r="R123" s="1">
        <f t="shared" si="57"/>
        <v>43.146626917072979</v>
      </c>
    </row>
    <row r="124" spans="1:18" x14ac:dyDescent="0.25">
      <c r="A124" s="1">
        <v>116</v>
      </c>
      <c r="B124" s="2">
        <f t="shared" si="44"/>
        <v>100</v>
      </c>
      <c r="C124" s="2">
        <f t="shared" si="45"/>
        <v>100</v>
      </c>
      <c r="D124" s="2">
        <f t="shared" si="52"/>
        <v>14.140676251543329</v>
      </c>
      <c r="E124" s="2" t="e">
        <f t="shared" si="53"/>
        <v>#DIV/0!</v>
      </c>
      <c r="F124" s="2">
        <f t="shared" si="54"/>
        <v>14.140676251543329</v>
      </c>
      <c r="G124" s="2" t="e">
        <f t="shared" si="55"/>
        <v>#NUM!</v>
      </c>
      <c r="H124" s="2">
        <f t="shared" si="46"/>
        <v>-104.5128205128205</v>
      </c>
      <c r="I124" s="2">
        <f t="shared" si="47"/>
        <v>-104.5128205128205</v>
      </c>
      <c r="M124" s="2">
        <f t="shared" si="48"/>
        <v>106.11656800373106</v>
      </c>
      <c r="N124" s="2">
        <f t="shared" si="49"/>
        <v>0</v>
      </c>
      <c r="O124" s="2">
        <f t="shared" si="50"/>
        <v>106.11656800373106</v>
      </c>
      <c r="P124" s="2">
        <f t="shared" si="51"/>
        <v>0</v>
      </c>
      <c r="Q124" s="1">
        <f t="shared" si="56"/>
        <v>43.082634498338415</v>
      </c>
      <c r="R124" s="1">
        <f t="shared" si="57"/>
        <v>43.082634498338415</v>
      </c>
    </row>
    <row r="125" spans="1:18" x14ac:dyDescent="0.25">
      <c r="A125" s="1">
        <v>117</v>
      </c>
      <c r="B125" s="2">
        <f t="shared" si="44"/>
        <v>100</v>
      </c>
      <c r="C125" s="2">
        <f t="shared" si="45"/>
        <v>100</v>
      </c>
      <c r="D125" s="2">
        <f t="shared" si="52"/>
        <v>14.059987382216345</v>
      </c>
      <c r="E125" s="2" t="e">
        <f t="shared" si="53"/>
        <v>#DIV/0!</v>
      </c>
      <c r="F125" s="2">
        <f t="shared" si="54"/>
        <v>14.059987382216345</v>
      </c>
      <c r="G125" s="2" t="e">
        <f t="shared" si="55"/>
        <v>#NUM!</v>
      </c>
      <c r="H125" s="2">
        <f t="shared" si="46"/>
        <v>-106.07692307692307</v>
      </c>
      <c r="I125" s="2">
        <f t="shared" si="47"/>
        <v>-106.07692307692307</v>
      </c>
      <c r="M125" s="2">
        <f t="shared" si="48"/>
        <v>106.4815451877562</v>
      </c>
      <c r="N125" s="2">
        <f t="shared" si="49"/>
        <v>0</v>
      </c>
      <c r="O125" s="2">
        <f t="shared" si="50"/>
        <v>106.4815451877562</v>
      </c>
      <c r="P125" s="2">
        <f t="shared" si="51"/>
        <v>0</v>
      </c>
      <c r="Q125" s="1">
        <f t="shared" si="56"/>
        <v>43.019285069006251</v>
      </c>
      <c r="R125" s="1">
        <f t="shared" si="57"/>
        <v>43.019285069006251</v>
      </c>
    </row>
    <row r="126" spans="1:18" x14ac:dyDescent="0.25">
      <c r="A126" s="1">
        <v>118</v>
      </c>
      <c r="B126" s="2">
        <f t="shared" si="44"/>
        <v>99.999999999999986</v>
      </c>
      <c r="C126" s="2">
        <f t="shared" si="45"/>
        <v>99.999999999999986</v>
      </c>
      <c r="D126" s="2">
        <f t="shared" si="52"/>
        <v>13.980439804302042</v>
      </c>
      <c r="E126" s="2" t="e">
        <f t="shared" si="53"/>
        <v>#DIV/0!</v>
      </c>
      <c r="F126" s="2">
        <f t="shared" si="54"/>
        <v>13.980439804302042</v>
      </c>
      <c r="G126" s="2" t="e">
        <f t="shared" si="55"/>
        <v>#NUM!</v>
      </c>
      <c r="H126" s="2">
        <f t="shared" si="46"/>
        <v>-107.64102564102564</v>
      </c>
      <c r="I126" s="2">
        <f t="shared" si="47"/>
        <v>-107.64102564102564</v>
      </c>
      <c r="M126" s="2">
        <f t="shared" si="48"/>
        <v>106.84465545542126</v>
      </c>
      <c r="N126" s="2">
        <f t="shared" si="49"/>
        <v>0</v>
      </c>
      <c r="O126" s="2">
        <f t="shared" si="50"/>
        <v>106.84465545542126</v>
      </c>
      <c r="P126" s="2">
        <f t="shared" si="51"/>
        <v>0</v>
      </c>
      <c r="Q126" s="1">
        <f t="shared" si="56"/>
        <v>42.956566754947929</v>
      </c>
      <c r="R126" s="1">
        <f t="shared" si="57"/>
        <v>42.956566754947929</v>
      </c>
    </row>
    <row r="127" spans="1:18" x14ac:dyDescent="0.25">
      <c r="A127" s="1">
        <v>119</v>
      </c>
      <c r="B127" s="2">
        <f t="shared" si="44"/>
        <v>100</v>
      </c>
      <c r="C127" s="2">
        <f t="shared" si="45"/>
        <v>100</v>
      </c>
      <c r="D127" s="2">
        <f t="shared" si="52"/>
        <v>13.902007906586091</v>
      </c>
      <c r="E127" s="2" t="e">
        <f t="shared" si="53"/>
        <v>#DIV/0!</v>
      </c>
      <c r="F127" s="2">
        <f t="shared" si="54"/>
        <v>13.902007906586091</v>
      </c>
      <c r="G127" s="2" t="e">
        <f t="shared" si="55"/>
        <v>#NUM!</v>
      </c>
      <c r="H127" s="2">
        <f t="shared" si="46"/>
        <v>-109.2051282051282</v>
      </c>
      <c r="I127" s="2">
        <f t="shared" si="47"/>
        <v>-109.2051282051282</v>
      </c>
      <c r="M127" s="2">
        <f t="shared" si="48"/>
        <v>107.20592405720284</v>
      </c>
      <c r="N127" s="2">
        <f t="shared" si="49"/>
        <v>0</v>
      </c>
      <c r="O127" s="2">
        <f t="shared" si="50"/>
        <v>107.20592405720284</v>
      </c>
      <c r="P127" s="2">
        <f t="shared" si="51"/>
        <v>0</v>
      </c>
      <c r="Q127" s="1">
        <f t="shared" si="56"/>
        <v>42.89446799960055</v>
      </c>
      <c r="R127" s="1">
        <f t="shared" si="57"/>
        <v>42.89446799960055</v>
      </c>
    </row>
    <row r="128" spans="1:18" x14ac:dyDescent="0.25">
      <c r="A128" s="1">
        <v>120</v>
      </c>
      <c r="B128" s="2">
        <f t="shared" si="44"/>
        <v>100</v>
      </c>
      <c r="C128" s="2">
        <f t="shared" si="45"/>
        <v>100</v>
      </c>
      <c r="D128" s="2">
        <f t="shared" si="52"/>
        <v>13.824666861514645</v>
      </c>
      <c r="E128" s="2" t="e">
        <f t="shared" si="53"/>
        <v>#DIV/0!</v>
      </c>
      <c r="F128" s="2">
        <f t="shared" si="54"/>
        <v>13.824666861514645</v>
      </c>
      <c r="G128" s="2" t="e">
        <f t="shared" si="55"/>
        <v>#NUM!</v>
      </c>
      <c r="H128" s="2">
        <f t="shared" si="46"/>
        <v>-110.76923076923075</v>
      </c>
      <c r="I128" s="2">
        <f t="shared" si="47"/>
        <v>-110.76923076923075</v>
      </c>
      <c r="M128" s="2">
        <f t="shared" si="48"/>
        <v>107.56537569325704</v>
      </c>
      <c r="N128" s="2">
        <f t="shared" si="49"/>
        <v>0</v>
      </c>
      <c r="O128" s="2">
        <f t="shared" si="50"/>
        <v>107.56537569325704</v>
      </c>
      <c r="P128" s="2">
        <f t="shared" si="51"/>
        <v>0</v>
      </c>
      <c r="Q128" s="1">
        <f t="shared" si="56"/>
        <v>42.83297755288887</v>
      </c>
      <c r="R128" s="1">
        <f t="shared" si="57"/>
        <v>42.83297755288887</v>
      </c>
    </row>
    <row r="129" spans="1:18" x14ac:dyDescent="0.25">
      <c r="A129" s="1">
        <v>121</v>
      </c>
      <c r="B129" s="2">
        <f t="shared" si="44"/>
        <v>100</v>
      </c>
      <c r="C129" s="2">
        <f t="shared" si="45"/>
        <v>100</v>
      </c>
      <c r="D129" s="2">
        <f t="shared" si="52"/>
        <v>13.7483925949285</v>
      </c>
      <c r="E129" s="2" t="e">
        <f t="shared" si="53"/>
        <v>#DIV/0!</v>
      </c>
      <c r="F129" s="2">
        <f t="shared" si="54"/>
        <v>13.7483925949285</v>
      </c>
      <c r="G129" s="2" t="e">
        <f t="shared" si="55"/>
        <v>#NUM!</v>
      </c>
      <c r="H129" s="2">
        <f t="shared" si="46"/>
        <v>-112.33333333333331</v>
      </c>
      <c r="I129" s="2">
        <f t="shared" si="47"/>
        <v>-112.33333333333331</v>
      </c>
      <c r="M129" s="2">
        <f t="shared" si="48"/>
        <v>107.92303452988911</v>
      </c>
      <c r="N129" s="2">
        <f t="shared" si="49"/>
        <v>0</v>
      </c>
      <c r="O129" s="2">
        <f t="shared" si="50"/>
        <v>107.92303452988911</v>
      </c>
      <c r="P129" s="2">
        <f t="shared" si="51"/>
        <v>0</v>
      </c>
      <c r="Q129" s="1">
        <f t="shared" si="56"/>
        <v>42.772084460622949</v>
      </c>
      <c r="R129" s="1">
        <f t="shared" si="57"/>
        <v>42.772084460622949</v>
      </c>
    </row>
    <row r="130" spans="1:18" x14ac:dyDescent="0.25">
      <c r="A130" s="1">
        <v>122</v>
      </c>
      <c r="B130" s="2">
        <f t="shared" si="44"/>
        <v>99.999999999999986</v>
      </c>
      <c r="C130" s="2">
        <f t="shared" si="45"/>
        <v>99.999999999999986</v>
      </c>
      <c r="D130" s="2">
        <f t="shared" si="52"/>
        <v>13.673161757204941</v>
      </c>
      <c r="E130" s="2" t="e">
        <f t="shared" si="53"/>
        <v>#DIV/0!</v>
      </c>
      <c r="F130" s="2">
        <f t="shared" si="54"/>
        <v>13.673161757204941</v>
      </c>
      <c r="G130" s="2" t="e">
        <f t="shared" si="55"/>
        <v>#NUM!</v>
      </c>
      <c r="H130" s="2">
        <f t="shared" si="46"/>
        <v>-113.89743589743588</v>
      </c>
      <c r="I130" s="2">
        <f t="shared" si="47"/>
        <v>-113.89743589743588</v>
      </c>
      <c r="M130" s="2">
        <f t="shared" si="48"/>
        <v>108.27892421539747</v>
      </c>
      <c r="N130" s="2">
        <f t="shared" si="49"/>
        <v>0</v>
      </c>
      <c r="O130" s="2">
        <f t="shared" si="50"/>
        <v>108.27892421539747</v>
      </c>
      <c r="P130" s="2">
        <f t="shared" si="51"/>
        <v>0</v>
      </c>
      <c r="Q130" s="1">
        <f t="shared" si="56"/>
        <v>42.711778054346254</v>
      </c>
      <c r="R130" s="1">
        <f t="shared" si="57"/>
        <v>42.711778054346254</v>
      </c>
    </row>
    <row r="131" spans="1:18" x14ac:dyDescent="0.25">
      <c r="A131" s="1">
        <v>123</v>
      </c>
      <c r="B131" s="2">
        <f t="shared" si="44"/>
        <v>100</v>
      </c>
      <c r="C131" s="2">
        <f t="shared" si="45"/>
        <v>100</v>
      </c>
      <c r="D131" s="2">
        <f t="shared" si="52"/>
        <v>13.598951695731042</v>
      </c>
      <c r="E131" s="2" t="e">
        <f t="shared" si="53"/>
        <v>#DIV/0!</v>
      </c>
      <c r="F131" s="2">
        <f t="shared" si="54"/>
        <v>13.598951695731042</v>
      </c>
      <c r="G131" s="2" t="e">
        <f t="shared" si="55"/>
        <v>#NUM!</v>
      </c>
      <c r="H131" s="2">
        <f t="shared" si="46"/>
        <v>-115.46153846153845</v>
      </c>
      <c r="I131" s="2">
        <f t="shared" si="47"/>
        <v>-115.46153846153845</v>
      </c>
      <c r="M131" s="2">
        <f t="shared" si="48"/>
        <v>108.63306789532258</v>
      </c>
      <c r="N131" s="2">
        <f t="shared" si="49"/>
        <v>0</v>
      </c>
      <c r="O131" s="2">
        <f t="shared" si="50"/>
        <v>108.63306789532258</v>
      </c>
      <c r="P131" s="2">
        <f t="shared" si="51"/>
        <v>0</v>
      </c>
      <c r="Q131" s="1">
        <f t="shared" si="56"/>
        <v>42.65204794161253</v>
      </c>
      <c r="R131" s="1">
        <f t="shared" si="57"/>
        <v>42.65204794161253</v>
      </c>
    </row>
    <row r="132" spans="1:18" x14ac:dyDescent="0.25">
      <c r="A132" s="1">
        <v>124</v>
      </c>
      <c r="B132" s="2">
        <f t="shared" si="44"/>
        <v>100</v>
      </c>
      <c r="C132" s="2">
        <f t="shared" si="45"/>
        <v>100</v>
      </c>
      <c r="D132" s="2">
        <f t="shared" si="52"/>
        <v>13.525740428636444</v>
      </c>
      <c r="E132" s="2" t="e">
        <f t="shared" si="53"/>
        <v>#DIV/0!</v>
      </c>
      <c r="F132" s="2">
        <f t="shared" si="54"/>
        <v>13.525740428636444</v>
      </c>
      <c r="G132" s="2" t="e">
        <f t="shared" si="55"/>
        <v>#NUM!</v>
      </c>
      <c r="H132" s="2">
        <f t="shared" si="46"/>
        <v>-117.02564102564102</v>
      </c>
      <c r="I132" s="2">
        <f t="shared" si="47"/>
        <v>-117.02564102564102</v>
      </c>
      <c r="M132" s="2">
        <f t="shared" si="48"/>
        <v>108.9854882271262</v>
      </c>
      <c r="N132" s="2">
        <f t="shared" si="49"/>
        <v>0</v>
      </c>
      <c r="O132" s="2">
        <f t="shared" si="50"/>
        <v>108.9854882271262</v>
      </c>
      <c r="P132" s="2">
        <f t="shared" si="51"/>
        <v>0</v>
      </c>
      <c r="Q132" s="1">
        <f t="shared" si="56"/>
        <v>42.592883996669151</v>
      </c>
      <c r="R132" s="1">
        <f t="shared" si="57"/>
        <v>42.592883996669151</v>
      </c>
    </row>
    <row r="133" spans="1:18" x14ac:dyDescent="0.25">
      <c r="A133" s="1">
        <v>125</v>
      </c>
      <c r="B133" s="2">
        <f t="shared" si="44"/>
        <v>100</v>
      </c>
      <c r="C133" s="2">
        <f t="shared" si="45"/>
        <v>100</v>
      </c>
      <c r="D133" s="2">
        <f t="shared" si="52"/>
        <v>13.453506619718699</v>
      </c>
      <c r="E133" s="2" t="e">
        <f t="shared" si="53"/>
        <v>#DIV/0!</v>
      </c>
      <c r="F133" s="2">
        <f t="shared" si="54"/>
        <v>13.453506619718699</v>
      </c>
      <c r="G133" s="2" t="e">
        <f t="shared" si="55"/>
        <v>#NUM!</v>
      </c>
      <c r="H133" s="2">
        <f t="shared" si="46"/>
        <v>-118.58974358974359</v>
      </c>
      <c r="I133" s="2">
        <f t="shared" si="47"/>
        <v>-118.58974358974359</v>
      </c>
      <c r="M133" s="2">
        <f t="shared" si="48"/>
        <v>109.33620739432783</v>
      </c>
      <c r="N133" s="2">
        <f t="shared" si="49"/>
        <v>0</v>
      </c>
      <c r="O133" s="2">
        <f t="shared" si="50"/>
        <v>109.33620739432783</v>
      </c>
      <c r="P133" s="2">
        <f t="shared" si="51"/>
        <v>0</v>
      </c>
      <c r="Q133" s="1">
        <f t="shared" si="56"/>
        <v>42.534276351527573</v>
      </c>
      <c r="R133" s="1">
        <f t="shared" si="57"/>
        <v>42.534276351527573</v>
      </c>
    </row>
    <row r="134" spans="1:18" x14ac:dyDescent="0.25">
      <c r="A134" s="1">
        <v>126</v>
      </c>
      <c r="B134" s="2">
        <f t="shared" si="44"/>
        <v>100</v>
      </c>
      <c r="C134" s="2">
        <f t="shared" si="45"/>
        <v>100</v>
      </c>
      <c r="D134" s="2">
        <f t="shared" si="52"/>
        <v>13.382229554497645</v>
      </c>
      <c r="E134" s="2" t="e">
        <f t="shared" si="53"/>
        <v>#DIV/0!</v>
      </c>
      <c r="F134" s="2">
        <f t="shared" si="54"/>
        <v>13.382229554497645</v>
      </c>
      <c r="G134" s="2" t="e">
        <f t="shared" si="55"/>
        <v>#NUM!</v>
      </c>
      <c r="H134" s="2">
        <f t="shared" si="46"/>
        <v>-120.15384615384613</v>
      </c>
      <c r="I134" s="2">
        <f t="shared" si="47"/>
        <v>-120.15384615384613</v>
      </c>
      <c r="M134" s="2">
        <f t="shared" si="48"/>
        <v>109.68524712012221</v>
      </c>
      <c r="N134" s="2">
        <f t="shared" si="49"/>
        <v>0</v>
      </c>
      <c r="O134" s="2">
        <f t="shared" si="50"/>
        <v>109.68524712012221</v>
      </c>
      <c r="P134" s="2">
        <f t="shared" si="51"/>
        <v>0</v>
      </c>
      <c r="Q134" s="1">
        <f t="shared" si="56"/>
        <v>42.47621538740097</v>
      </c>
      <c r="R134" s="1">
        <f t="shared" si="57"/>
        <v>42.47621538740097</v>
      </c>
    </row>
    <row r="135" spans="1:18" x14ac:dyDescent="0.25">
      <c r="A135" s="1">
        <v>127</v>
      </c>
      <c r="B135" s="2">
        <f t="shared" si="44"/>
        <v>100</v>
      </c>
      <c r="C135" s="2">
        <f t="shared" si="45"/>
        <v>100</v>
      </c>
      <c r="D135" s="2">
        <f t="shared" si="52"/>
        <v>13.311889117339772</v>
      </c>
      <c r="E135" s="2" t="e">
        <f t="shared" si="53"/>
        <v>#DIV/0!</v>
      </c>
      <c r="F135" s="2">
        <f t="shared" si="54"/>
        <v>13.311889117339772</v>
      </c>
      <c r="G135" s="2" t="e">
        <f t="shared" si="55"/>
        <v>#NUM!</v>
      </c>
      <c r="H135" s="2">
        <f t="shared" si="46"/>
        <v>-121.7179487179487</v>
      </c>
      <c r="I135" s="2">
        <f t="shared" si="47"/>
        <v>-121.7179487179487</v>
      </c>
      <c r="M135" s="2">
        <f t="shared" si="48"/>
        <v>110.03262868050039</v>
      </c>
      <c r="N135" s="2">
        <f t="shared" si="49"/>
        <v>0</v>
      </c>
      <c r="O135" s="2">
        <f t="shared" si="50"/>
        <v>110.03262868050039</v>
      </c>
      <c r="P135" s="2">
        <f t="shared" si="51"/>
        <v>0</v>
      </c>
      <c r="Q135" s="1">
        <f t="shared" si="56"/>
        <v>42.418691726492341</v>
      </c>
      <c r="R135" s="1">
        <f t="shared" si="57"/>
        <v>42.418691726492341</v>
      </c>
    </row>
    <row r="136" spans="1:18" x14ac:dyDescent="0.25">
      <c r="A136" s="1">
        <v>128</v>
      </c>
      <c r="B136" s="2">
        <f t="shared" ref="B136:B158" si="58">(alpha0*(1-beta0)*$A136*SCapital0)/(alpha0*(1-beta0)*$A136+beta0*(1-alpha0)*MAX(SLab0-$A136,0))</f>
        <v>100</v>
      </c>
      <c r="C136" s="2">
        <f t="shared" ref="C136:C158" si="59">(alpha1*(1-beta1)*$A136*SCapital1)/(alpha1*(1-beta1)*$A136+beta1*(1-alpha1)*MAX(SLab1-$A136,0))</f>
        <v>100</v>
      </c>
      <c r="D136" s="2">
        <f t="shared" si="52"/>
        <v>13.242465769596574</v>
      </c>
      <c r="E136" s="2" t="e">
        <f t="shared" si="53"/>
        <v>#DIV/0!</v>
      </c>
      <c r="F136" s="2">
        <f t="shared" si="54"/>
        <v>13.242465769596574</v>
      </c>
      <c r="G136" s="2" t="e">
        <f t="shared" si="55"/>
        <v>#NUM!</v>
      </c>
      <c r="H136" s="2">
        <f t="shared" ref="H136:H158" si="60">interc0-mrt0*A136</f>
        <v>-123.28205128205127</v>
      </c>
      <c r="I136" s="2">
        <f t="shared" ref="I136:I158" si="61">interc1-mrts1*A136</f>
        <v>-123.28205128205127</v>
      </c>
      <c r="M136" s="2">
        <f t="shared" ref="M136:M158" si="62">TechA0*(B136^alpha0)*(A136^(1-alpha0))</f>
        <v>110.37837291689719</v>
      </c>
      <c r="N136" s="2">
        <f t="shared" ref="N136:N158" si="63">TechB0*(MAX(SCapital0-B136,0)^beta0)*(MAX(SLab0-A136,0)^(1-beta0))</f>
        <v>0</v>
      </c>
      <c r="O136" s="2">
        <f t="shared" ref="O136:O158" si="64">TechA1*(C136^alpha1)*(A136^(1-alpha1))</f>
        <v>110.37837291689719</v>
      </c>
      <c r="P136" s="2">
        <f t="shared" ref="P136:P158" si="65">TechB1*(MAX(SCapital1-C136,0)^beta1)*(MAX(SLab1-A136,0)^(1-beta1))</f>
        <v>0</v>
      </c>
      <c r="Q136" s="1">
        <f t="shared" si="56"/>
        <v>42.36169622411488</v>
      </c>
      <c r="R136" s="1">
        <f t="shared" si="57"/>
        <v>42.36169622411488</v>
      </c>
    </row>
    <row r="137" spans="1:18" x14ac:dyDescent="0.25">
      <c r="A137" s="1">
        <v>129</v>
      </c>
      <c r="B137" s="2">
        <f t="shared" si="58"/>
        <v>100</v>
      </c>
      <c r="C137" s="2">
        <f t="shared" si="59"/>
        <v>100</v>
      </c>
      <c r="D137" s="2">
        <f t="shared" ref="D137:D158" si="66">(X1e0/(TechA0*($A137^(1-alpha0))))^(1/alpha0)</f>
        <v>13.173940528704499</v>
      </c>
      <c r="E137" s="2" t="e">
        <f t="shared" ref="E137:E158" si="67">SCapital0-(X2e0/(TechB0*(MAX(SLab0-$A137,0)^(1-beta0))))^(1/beta0)</f>
        <v>#DIV/0!</v>
      </c>
      <c r="F137" s="2">
        <f t="shared" ref="F137:F158" si="68">(X1e1/(TechA1*($A137^(1-alpha1))))^(1/alpha1)</f>
        <v>13.173940528704499</v>
      </c>
      <c r="G137" s="2" t="e">
        <f t="shared" ref="G137:G158" si="69">SCapital1-(X2e1/(TechB1*((SLab1-$A137)^(1-beta1))))^(1/beta1)</f>
        <v>#NUM!</v>
      </c>
      <c r="H137" s="2">
        <f t="shared" si="60"/>
        <v>-124.84615384615384</v>
      </c>
      <c r="I137" s="2">
        <f t="shared" si="61"/>
        <v>-124.84615384615384</v>
      </c>
      <c r="M137" s="2">
        <f t="shared" si="62"/>
        <v>110.72250024838468</v>
      </c>
      <c r="N137" s="2">
        <f t="shared" si="63"/>
        <v>0</v>
      </c>
      <c r="O137" s="2">
        <f t="shared" si="64"/>
        <v>110.72250024838468</v>
      </c>
      <c r="P137" s="2">
        <f t="shared" si="65"/>
        <v>0</v>
      </c>
      <c r="Q137" s="1">
        <f t="shared" ref="Q137:Q158" si="70">(util0/(M137^gamma0))^(1/(1-gamma0))</f>
        <v>42.305219961129758</v>
      </c>
      <c r="R137" s="1">
        <f t="shared" ref="R137:R158" si="71">(util1/(O137^gamma1))^(1/(1-gamma1))</f>
        <v>42.305219961129758</v>
      </c>
    </row>
    <row r="138" spans="1:18" x14ac:dyDescent="0.25">
      <c r="A138" s="1">
        <v>130</v>
      </c>
      <c r="B138" s="2">
        <f t="shared" si="58"/>
        <v>100</v>
      </c>
      <c r="C138" s="2">
        <f t="shared" si="59"/>
        <v>100</v>
      </c>
      <c r="D138" s="2">
        <f t="shared" si="66"/>
        <v>13.106294948197123</v>
      </c>
      <c r="E138" s="2" t="e">
        <f t="shared" si="67"/>
        <v>#DIV/0!</v>
      </c>
      <c r="F138" s="2">
        <f t="shared" si="68"/>
        <v>13.106294948197123</v>
      </c>
      <c r="G138" s="2" t="e">
        <f t="shared" si="69"/>
        <v>#NUM!</v>
      </c>
      <c r="H138" s="2">
        <f t="shared" si="60"/>
        <v>-126.41025641025641</v>
      </c>
      <c r="I138" s="2">
        <f t="shared" si="61"/>
        <v>-126.41025641025641</v>
      </c>
      <c r="M138" s="2">
        <f t="shared" si="62"/>
        <v>111.06503068343223</v>
      </c>
      <c r="N138" s="2">
        <f t="shared" si="63"/>
        <v>0</v>
      </c>
      <c r="O138" s="2">
        <f t="shared" si="64"/>
        <v>111.06503068343223</v>
      </c>
      <c r="P138" s="2">
        <f t="shared" si="65"/>
        <v>0</v>
      </c>
      <c r="Q138" s="1">
        <f t="shared" si="70"/>
        <v>42.249254236685282</v>
      </c>
      <c r="R138" s="1">
        <f t="shared" si="71"/>
        <v>42.249254236685282</v>
      </c>
    </row>
    <row r="139" spans="1:18" x14ac:dyDescent="0.25">
      <c r="A139" s="1">
        <v>131</v>
      </c>
      <c r="B139" s="2">
        <f t="shared" si="58"/>
        <v>100.00000000000001</v>
      </c>
      <c r="C139" s="2">
        <f t="shared" si="59"/>
        <v>100.00000000000001</v>
      </c>
      <c r="D139" s="2">
        <f t="shared" si="66"/>
        <v>13.039511098583015</v>
      </c>
      <c r="E139" s="2" t="e">
        <f t="shared" si="67"/>
        <v>#DIV/0!</v>
      </c>
      <c r="F139" s="2">
        <f t="shared" si="68"/>
        <v>13.039511098583015</v>
      </c>
      <c r="G139" s="2" t="e">
        <f t="shared" si="69"/>
        <v>#NUM!</v>
      </c>
      <c r="H139" s="2">
        <f t="shared" si="60"/>
        <v>-127.97435897435895</v>
      </c>
      <c r="I139" s="2">
        <f t="shared" si="61"/>
        <v>-127.97435897435895</v>
      </c>
      <c r="M139" s="2">
        <f t="shared" si="62"/>
        <v>111.40598383125115</v>
      </c>
      <c r="N139" s="2">
        <f t="shared" si="63"/>
        <v>0</v>
      </c>
      <c r="O139" s="2">
        <f t="shared" si="64"/>
        <v>111.40598383125115</v>
      </c>
      <c r="P139" s="2">
        <f t="shared" si="65"/>
        <v>0</v>
      </c>
      <c r="Q139" s="1">
        <f t="shared" si="70"/>
        <v>42.193790561243858</v>
      </c>
      <c r="R139" s="1">
        <f t="shared" si="71"/>
        <v>42.193790561243858</v>
      </c>
    </row>
    <row r="140" spans="1:18" x14ac:dyDescent="0.25">
      <c r="A140" s="1">
        <v>132</v>
      </c>
      <c r="B140" s="2">
        <f t="shared" si="58"/>
        <v>100</v>
      </c>
      <c r="C140" s="2">
        <f t="shared" si="59"/>
        <v>100</v>
      </c>
      <c r="D140" s="2">
        <f t="shared" si="66"/>
        <v>12.973571549045603</v>
      </c>
      <c r="E140" s="2" t="e">
        <f t="shared" si="67"/>
        <v>#DIV/0!</v>
      </c>
      <c r="F140" s="2">
        <f t="shared" si="68"/>
        <v>12.973571549045603</v>
      </c>
      <c r="G140" s="2" t="e">
        <f t="shared" si="69"/>
        <v>#NUM!</v>
      </c>
      <c r="H140" s="2">
        <f t="shared" si="60"/>
        <v>-129.53846153846152</v>
      </c>
      <c r="I140" s="2">
        <f t="shared" si="61"/>
        <v>-129.53846153846152</v>
      </c>
      <c r="M140" s="2">
        <f t="shared" si="62"/>
        <v>111.74537891274203</v>
      </c>
      <c r="N140" s="2">
        <f t="shared" si="63"/>
        <v>0</v>
      </c>
      <c r="O140" s="2">
        <f t="shared" si="64"/>
        <v>111.74537891274203</v>
      </c>
      <c r="P140" s="2">
        <f t="shared" si="65"/>
        <v>0</v>
      </c>
      <c r="Q140" s="1">
        <f t="shared" si="70"/>
        <v>42.138820649882923</v>
      </c>
      <c r="R140" s="1">
        <f t="shared" si="71"/>
        <v>42.138820649882923</v>
      </c>
    </row>
    <row r="141" spans="1:18" x14ac:dyDescent="0.25">
      <c r="A141" s="1">
        <v>133</v>
      </c>
      <c r="B141" s="2">
        <f t="shared" si="58"/>
        <v>100</v>
      </c>
      <c r="C141" s="2">
        <f t="shared" si="59"/>
        <v>100</v>
      </c>
      <c r="D141" s="2">
        <f t="shared" si="66"/>
        <v>12.908459349923637</v>
      </c>
      <c r="E141" s="2" t="e">
        <f t="shared" si="67"/>
        <v>#DIV/0!</v>
      </c>
      <c r="F141" s="2">
        <f t="shared" si="68"/>
        <v>12.908459349923637</v>
      </c>
      <c r="G141" s="2" t="e">
        <f t="shared" si="69"/>
        <v>#NUM!</v>
      </c>
      <c r="H141" s="2">
        <f t="shared" si="60"/>
        <v>-131.10256410256409</v>
      </c>
      <c r="I141" s="2">
        <f t="shared" si="61"/>
        <v>-131.10256410256409</v>
      </c>
      <c r="M141" s="2">
        <f t="shared" si="62"/>
        <v>112.08323477106126</v>
      </c>
      <c r="N141" s="2">
        <f t="shared" si="63"/>
        <v>0</v>
      </c>
      <c r="O141" s="2">
        <f t="shared" si="64"/>
        <v>112.08323477106126</v>
      </c>
      <c r="P141" s="2">
        <f t="shared" si="65"/>
        <v>0</v>
      </c>
      <c r="Q141" s="1">
        <f t="shared" si="70"/>
        <v>42.084336415857216</v>
      </c>
      <c r="R141" s="1">
        <f t="shared" si="71"/>
        <v>42.084336415857216</v>
      </c>
    </row>
    <row r="142" spans="1:18" x14ac:dyDescent="0.25">
      <c r="A142" s="1">
        <v>134</v>
      </c>
      <c r="B142" s="2">
        <f t="shared" si="58"/>
        <v>100</v>
      </c>
      <c r="C142" s="2">
        <f t="shared" si="59"/>
        <v>100</v>
      </c>
      <c r="D142" s="2">
        <f t="shared" si="66"/>
        <v>12.844158015933584</v>
      </c>
      <c r="E142" s="2" t="e">
        <f t="shared" si="67"/>
        <v>#DIV/0!</v>
      </c>
      <c r="F142" s="2">
        <f t="shared" si="68"/>
        <v>12.844158015933584</v>
      </c>
      <c r="G142" s="2" t="e">
        <f t="shared" si="69"/>
        <v>#NUM!</v>
      </c>
      <c r="H142" s="2">
        <f t="shared" si="60"/>
        <v>-132.66666666666666</v>
      </c>
      <c r="I142" s="2">
        <f t="shared" si="61"/>
        <v>-132.66666666666666</v>
      </c>
      <c r="M142" s="2">
        <f t="shared" si="62"/>
        <v>112.41956988182308</v>
      </c>
      <c r="N142" s="2">
        <f t="shared" si="63"/>
        <v>0</v>
      </c>
      <c r="O142" s="2">
        <f t="shared" si="64"/>
        <v>112.41956988182308</v>
      </c>
      <c r="P142" s="2">
        <f t="shared" si="65"/>
        <v>0</v>
      </c>
      <c r="Q142" s="1">
        <f t="shared" si="70"/>
        <v>42.030329964410193</v>
      </c>
      <c r="R142" s="1">
        <f t="shared" si="71"/>
        <v>42.030329964410193</v>
      </c>
    </row>
    <row r="143" spans="1:18" x14ac:dyDescent="0.25">
      <c r="A143" s="1">
        <v>135</v>
      </c>
      <c r="B143" s="2">
        <f t="shared" si="58"/>
        <v>100.00000000000001</v>
      </c>
      <c r="C143" s="2">
        <f t="shared" si="59"/>
        <v>100.00000000000001</v>
      </c>
      <c r="D143" s="2">
        <f t="shared" si="66"/>
        <v>12.780651510097048</v>
      </c>
      <c r="E143" s="2" t="e">
        <f t="shared" si="67"/>
        <v>#DIV/0!</v>
      </c>
      <c r="F143" s="2">
        <f t="shared" si="68"/>
        <v>12.780651510097048</v>
      </c>
      <c r="G143" s="2" t="e">
        <f t="shared" si="69"/>
        <v>#NUM!</v>
      </c>
      <c r="H143" s="2">
        <f t="shared" si="60"/>
        <v>-134.23076923076923</v>
      </c>
      <c r="I143" s="2">
        <f t="shared" si="61"/>
        <v>-134.23076923076923</v>
      </c>
      <c r="M143" s="2">
        <f t="shared" si="62"/>
        <v>112.75440236295192</v>
      </c>
      <c r="N143" s="2">
        <f t="shared" si="63"/>
        <v>0</v>
      </c>
      <c r="O143" s="2">
        <f t="shared" si="64"/>
        <v>112.75440236295192</v>
      </c>
      <c r="P143" s="2">
        <f t="shared" si="65"/>
        <v>0</v>
      </c>
      <c r="Q143" s="1">
        <f t="shared" si="70"/>
        <v>41.976793586823348</v>
      </c>
      <c r="R143" s="1">
        <f t="shared" si="71"/>
        <v>41.976793586823348</v>
      </c>
    </row>
    <row r="144" spans="1:18" x14ac:dyDescent="0.25">
      <c r="A144" s="1">
        <v>136</v>
      </c>
      <c r="B144" s="2">
        <f t="shared" si="58"/>
        <v>100</v>
      </c>
      <c r="C144" s="2">
        <f t="shared" si="59"/>
        <v>100</v>
      </c>
      <c r="D144" s="2">
        <f t="shared" si="66"/>
        <v>12.717924228338745</v>
      </c>
      <c r="E144" s="2" t="e">
        <f t="shared" si="67"/>
        <v>#DIV/0!</v>
      </c>
      <c r="F144" s="2">
        <f t="shared" si="68"/>
        <v>12.717924228338745</v>
      </c>
      <c r="G144" s="2" t="e">
        <f t="shared" si="69"/>
        <v>#NUM!</v>
      </c>
      <c r="H144" s="2">
        <f t="shared" si="60"/>
        <v>-135.7948717948718</v>
      </c>
      <c r="I144" s="2">
        <f t="shared" si="61"/>
        <v>-135.7948717948718</v>
      </c>
      <c r="M144" s="2">
        <f t="shared" si="62"/>
        <v>113.08774998420014</v>
      </c>
      <c r="N144" s="2">
        <f t="shared" si="63"/>
        <v>0</v>
      </c>
      <c r="O144" s="2">
        <f t="shared" si="64"/>
        <v>113.08774998420014</v>
      </c>
      <c r="P144" s="2">
        <f t="shared" si="65"/>
        <v>0</v>
      </c>
      <c r="Q144" s="1">
        <f t="shared" si="70"/>
        <v>41.923719754692442</v>
      </c>
      <c r="R144" s="1">
        <f t="shared" si="71"/>
        <v>41.923719754692442</v>
      </c>
    </row>
    <row r="145" spans="1:18" x14ac:dyDescent="0.25">
      <c r="A145" s="1">
        <v>137</v>
      </c>
      <c r="B145" s="2">
        <f t="shared" si="58"/>
        <v>100</v>
      </c>
      <c r="C145" s="2">
        <f t="shared" si="59"/>
        <v>100</v>
      </c>
      <c r="D145" s="2">
        <f t="shared" si="66"/>
        <v>12.655960984722327</v>
      </c>
      <c r="E145" s="2" t="e">
        <f t="shared" si="67"/>
        <v>#DIV/0!</v>
      </c>
      <c r="F145" s="2">
        <f t="shared" si="68"/>
        <v>12.655960984722327</v>
      </c>
      <c r="G145" s="2" t="e">
        <f t="shared" si="69"/>
        <v>#NUM!</v>
      </c>
      <c r="H145" s="2">
        <f t="shared" si="60"/>
        <v>-137.35897435897434</v>
      </c>
      <c r="I145" s="2">
        <f t="shared" si="61"/>
        <v>-137.35897435897434</v>
      </c>
      <c r="M145" s="2">
        <f t="shared" si="62"/>
        <v>113.4196301763442</v>
      </c>
      <c r="N145" s="2">
        <f t="shared" si="63"/>
        <v>0</v>
      </c>
      <c r="O145" s="2">
        <f t="shared" si="64"/>
        <v>113.4196301763442</v>
      </c>
      <c r="P145" s="2">
        <f t="shared" si="65"/>
        <v>0</v>
      </c>
      <c r="Q145" s="1">
        <f t="shared" si="70"/>
        <v>41.871101114420412</v>
      </c>
      <c r="R145" s="1">
        <f t="shared" si="71"/>
        <v>41.871101114420412</v>
      </c>
    </row>
    <row r="146" spans="1:18" x14ac:dyDescent="0.25">
      <c r="A146" s="1">
        <v>138</v>
      </c>
      <c r="B146" s="2">
        <f t="shared" si="58"/>
        <v>100</v>
      </c>
      <c r="C146" s="2">
        <f t="shared" si="59"/>
        <v>100</v>
      </c>
      <c r="D146" s="2">
        <f t="shared" si="66"/>
        <v>12.594746997293184</v>
      </c>
      <c r="E146" s="2" t="e">
        <f t="shared" si="67"/>
        <v>#DIV/0!</v>
      </c>
      <c r="F146" s="2">
        <f t="shared" si="68"/>
        <v>12.594746997293184</v>
      </c>
      <c r="G146" s="2" t="e">
        <f t="shared" si="69"/>
        <v>#NUM!</v>
      </c>
      <c r="H146" s="2">
        <f t="shared" si="60"/>
        <v>-138.92307692307691</v>
      </c>
      <c r="I146" s="2">
        <f t="shared" si="61"/>
        <v>-138.92307692307691</v>
      </c>
      <c r="M146" s="2">
        <f t="shared" si="62"/>
        <v>113.75006004007287</v>
      </c>
      <c r="N146" s="2">
        <f t="shared" si="63"/>
        <v>0</v>
      </c>
      <c r="O146" s="2">
        <f t="shared" si="64"/>
        <v>113.75006004007287</v>
      </c>
      <c r="P146" s="2">
        <f t="shared" si="65"/>
        <v>0</v>
      </c>
      <c r="Q146" s="1">
        <f t="shared" si="70"/>
        <v>41.81893048191742</v>
      </c>
      <c r="R146" s="1">
        <f t="shared" si="71"/>
        <v>41.81893048191742</v>
      </c>
    </row>
    <row r="147" spans="1:18" x14ac:dyDescent="0.25">
      <c r="A147" s="1">
        <v>139</v>
      </c>
      <c r="B147" s="2">
        <f t="shared" si="58"/>
        <v>100.00000000000001</v>
      </c>
      <c r="C147" s="2">
        <f t="shared" si="59"/>
        <v>100.00000000000001</v>
      </c>
      <c r="D147" s="2">
        <f t="shared" si="66"/>
        <v>12.534267874499159</v>
      </c>
      <c r="E147" s="2" t="e">
        <f t="shared" si="67"/>
        <v>#DIV/0!</v>
      </c>
      <c r="F147" s="2">
        <f t="shared" si="68"/>
        <v>12.534267874499159</v>
      </c>
      <c r="G147" s="2" t="e">
        <f t="shared" si="69"/>
        <v>#NUM!</v>
      </c>
      <c r="H147" s="2">
        <f t="shared" si="60"/>
        <v>-140.48717948717947</v>
      </c>
      <c r="I147" s="2">
        <f t="shared" si="61"/>
        <v>-140.48717948717947</v>
      </c>
      <c r="M147" s="2">
        <f t="shared" si="62"/>
        <v>114.07905635457979</v>
      </c>
      <c r="N147" s="2">
        <f t="shared" si="63"/>
        <v>0</v>
      </c>
      <c r="O147" s="2">
        <f t="shared" si="64"/>
        <v>114.07905635457979</v>
      </c>
      <c r="P147" s="2">
        <f t="shared" si="65"/>
        <v>0</v>
      </c>
      <c r="Q147" s="1">
        <f t="shared" si="70"/>
        <v>41.767200837498557</v>
      </c>
      <c r="R147" s="1">
        <f t="shared" si="71"/>
        <v>41.767200837498557</v>
      </c>
    </row>
    <row r="148" spans="1:18" x14ac:dyDescent="0.25">
      <c r="A148" s="1">
        <v>140</v>
      </c>
      <c r="B148" s="2">
        <f t="shared" si="58"/>
        <v>100</v>
      </c>
      <c r="C148" s="2">
        <f t="shared" si="59"/>
        <v>100</v>
      </c>
      <c r="D148" s="2">
        <f t="shared" si="66"/>
        <v>12.474509602161456</v>
      </c>
      <c r="E148" s="2" t="e">
        <f t="shared" si="67"/>
        <v>#DIV/0!</v>
      </c>
      <c r="F148" s="2">
        <f t="shared" si="68"/>
        <v>12.474509602161456</v>
      </c>
      <c r="G148" s="2" t="e">
        <f t="shared" si="69"/>
        <v>#NUM!</v>
      </c>
      <c r="H148" s="2">
        <f t="shared" si="60"/>
        <v>-142.05128205128204</v>
      </c>
      <c r="I148" s="2">
        <f t="shared" si="61"/>
        <v>-142.05128205128204</v>
      </c>
      <c r="M148" s="2">
        <f t="shared" si="62"/>
        <v>114.40663558587231</v>
      </c>
      <c r="N148" s="2">
        <f t="shared" si="63"/>
        <v>0</v>
      </c>
      <c r="O148" s="2">
        <f t="shared" si="64"/>
        <v>114.40663558587231</v>
      </c>
      <c r="P148" s="2">
        <f t="shared" si="65"/>
        <v>0</v>
      </c>
      <c r="Q148" s="1">
        <f t="shared" si="70"/>
        <v>41.715905320970599</v>
      </c>
      <c r="R148" s="1">
        <f t="shared" si="71"/>
        <v>41.715905320970599</v>
      </c>
    </row>
    <row r="149" spans="1:18" x14ac:dyDescent="0.25">
      <c r="A149" s="1">
        <v>141</v>
      </c>
      <c r="B149" s="2">
        <f t="shared" si="58"/>
        <v>100</v>
      </c>
      <c r="C149" s="2">
        <f t="shared" si="59"/>
        <v>100</v>
      </c>
      <c r="D149" s="2">
        <f t="shared" si="66"/>
        <v>12.415458530969897</v>
      </c>
      <c r="E149" s="2" t="e">
        <f t="shared" si="67"/>
        <v>#DIV/0!</v>
      </c>
      <c r="F149" s="2">
        <f t="shared" si="68"/>
        <v>12.415458530969897</v>
      </c>
      <c r="G149" s="2" t="e">
        <f t="shared" si="69"/>
        <v>#NUM!</v>
      </c>
      <c r="H149" s="2">
        <f t="shared" si="60"/>
        <v>-143.61538461538461</v>
      </c>
      <c r="I149" s="2">
        <f t="shared" si="61"/>
        <v>-143.61538461538461</v>
      </c>
      <c r="M149" s="2">
        <f t="shared" si="62"/>
        <v>114.73281389480776</v>
      </c>
      <c r="N149" s="2">
        <f t="shared" si="63"/>
        <v>0</v>
      </c>
      <c r="O149" s="2">
        <f t="shared" si="64"/>
        <v>114.73281389480776</v>
      </c>
      <c r="P149" s="2">
        <f t="shared" si="65"/>
        <v>0</v>
      </c>
      <c r="Q149" s="1">
        <f t="shared" si="70"/>
        <v>41.665037226899464</v>
      </c>
      <c r="R149" s="1">
        <f t="shared" si="71"/>
        <v>41.665037226899464</v>
      </c>
    </row>
    <row r="150" spans="1:18" x14ac:dyDescent="0.25">
      <c r="A150" s="1">
        <v>142</v>
      </c>
      <c r="B150" s="2">
        <f t="shared" si="58"/>
        <v>100</v>
      </c>
      <c r="C150" s="2">
        <f t="shared" si="59"/>
        <v>100</v>
      </c>
      <c r="D150" s="2">
        <f t="shared" si="66"/>
        <v>12.357101364477758</v>
      </c>
      <c r="E150" s="2" t="e">
        <f t="shared" si="67"/>
        <v>#DIV/0!</v>
      </c>
      <c r="F150" s="2">
        <f t="shared" si="68"/>
        <v>12.357101364477758</v>
      </c>
      <c r="G150" s="2" t="e">
        <f t="shared" si="69"/>
        <v>#NUM!</v>
      </c>
      <c r="H150" s="2">
        <f t="shared" si="60"/>
        <v>-145.17948717948715</v>
      </c>
      <c r="I150" s="2">
        <f t="shared" si="61"/>
        <v>-145.17948717948715</v>
      </c>
      <c r="M150" s="2">
        <f t="shared" si="62"/>
        <v>115.0576071448682</v>
      </c>
      <c r="N150" s="2">
        <f t="shared" si="63"/>
        <v>0</v>
      </c>
      <c r="O150" s="2">
        <f t="shared" si="64"/>
        <v>115.0576071448682</v>
      </c>
      <c r="P150" s="2">
        <f t="shared" si="65"/>
        <v>0</v>
      </c>
      <c r="Q150" s="1">
        <f t="shared" si="70"/>
        <v>41.61459000005074</v>
      </c>
      <c r="R150" s="1">
        <f t="shared" si="71"/>
        <v>41.61459000005074</v>
      </c>
    </row>
    <row r="151" spans="1:18" x14ac:dyDescent="0.25">
      <c r="A151" s="1">
        <v>143</v>
      </c>
      <c r="B151" s="2">
        <f t="shared" si="58"/>
        <v>100</v>
      </c>
      <c r="C151" s="2">
        <f t="shared" si="59"/>
        <v>100</v>
      </c>
      <c r="D151" s="2">
        <f t="shared" si="66"/>
        <v>12.299425147572842</v>
      </c>
      <c r="E151" s="2" t="e">
        <f t="shared" si="67"/>
        <v>#DIV/0!</v>
      </c>
      <c r="F151" s="2">
        <f t="shared" si="68"/>
        <v>12.299425147572842</v>
      </c>
      <c r="G151" s="2" t="e">
        <f t="shared" si="69"/>
        <v>#NUM!</v>
      </c>
      <c r="H151" s="2">
        <f t="shared" si="60"/>
        <v>-146.74358974358972</v>
      </c>
      <c r="I151" s="2">
        <f t="shared" si="61"/>
        <v>-146.74358974358972</v>
      </c>
      <c r="M151" s="2">
        <f t="shared" si="62"/>
        <v>115.38103090968394</v>
      </c>
      <c r="N151" s="2">
        <f t="shared" si="63"/>
        <v>0</v>
      </c>
      <c r="O151" s="2">
        <f t="shared" si="64"/>
        <v>115.38103090968394</v>
      </c>
      <c r="P151" s="2">
        <f t="shared" si="65"/>
        <v>0</v>
      </c>
      <c r="Q151" s="1">
        <f t="shared" si="70"/>
        <v>41.564557230995291</v>
      </c>
      <c r="R151" s="1">
        <f t="shared" si="71"/>
        <v>41.564557230995291</v>
      </c>
    </row>
    <row r="152" spans="1:18" x14ac:dyDescent="0.25">
      <c r="A152" s="1">
        <v>144</v>
      </c>
      <c r="B152" s="2">
        <f t="shared" si="58"/>
        <v>100</v>
      </c>
      <c r="C152" s="2">
        <f t="shared" si="59"/>
        <v>100</v>
      </c>
      <c r="D152" s="2">
        <f t="shared" si="66"/>
        <v>12.242417255402851</v>
      </c>
      <c r="E152" s="2" t="e">
        <f t="shared" si="67"/>
        <v>#DIV/0!</v>
      </c>
      <c r="F152" s="2">
        <f t="shared" si="68"/>
        <v>12.242417255402851</v>
      </c>
      <c r="G152" s="2" t="e">
        <f t="shared" si="69"/>
        <v>#NUM!</v>
      </c>
      <c r="H152" s="2">
        <f t="shared" si="60"/>
        <v>-148.30769230769229</v>
      </c>
      <c r="I152" s="2">
        <f t="shared" si="61"/>
        <v>-148.30769230769229</v>
      </c>
      <c r="M152" s="2">
        <f t="shared" si="62"/>
        <v>115.70310048031529</v>
      </c>
      <c r="N152" s="2">
        <f t="shared" si="63"/>
        <v>0</v>
      </c>
      <c r="O152" s="2">
        <f t="shared" si="64"/>
        <v>115.70310048031529</v>
      </c>
      <c r="P152" s="2">
        <f t="shared" si="65"/>
        <v>0</v>
      </c>
      <c r="Q152" s="1">
        <f t="shared" si="70"/>
        <v>41.514932651873345</v>
      </c>
      <c r="R152" s="1">
        <f t="shared" si="71"/>
        <v>41.514932651873345</v>
      </c>
    </row>
    <row r="153" spans="1:18" x14ac:dyDescent="0.25">
      <c r="A153" s="1">
        <v>145</v>
      </c>
      <c r="B153" s="2">
        <f t="shared" si="58"/>
        <v>100</v>
      </c>
      <c r="C153" s="2">
        <f t="shared" si="59"/>
        <v>100</v>
      </c>
      <c r="D153" s="2">
        <f t="shared" si="66"/>
        <v>12.18606538273399</v>
      </c>
      <c r="E153" s="2" t="e">
        <f t="shared" si="67"/>
        <v>#DIV/0!</v>
      </c>
      <c r="F153" s="2">
        <f t="shared" si="68"/>
        <v>12.18606538273399</v>
      </c>
      <c r="G153" s="2" t="e">
        <f t="shared" si="69"/>
        <v>#NUM!</v>
      </c>
      <c r="H153" s="2">
        <f t="shared" si="60"/>
        <v>-149.87179487179486</v>
      </c>
      <c r="I153" s="2">
        <f t="shared" si="61"/>
        <v>-149.87179487179486</v>
      </c>
      <c r="M153" s="2">
        <f t="shared" si="62"/>
        <v>116.02383087230228</v>
      </c>
      <c r="N153" s="2">
        <f t="shared" si="63"/>
        <v>0</v>
      </c>
      <c r="O153" s="2">
        <f t="shared" si="64"/>
        <v>116.02383087230228</v>
      </c>
      <c r="P153" s="2">
        <f t="shared" si="65"/>
        <v>0</v>
      </c>
      <c r="Q153" s="1">
        <f t="shared" si="70"/>
        <v>41.465710132309916</v>
      </c>
      <c r="R153" s="1">
        <f t="shared" si="71"/>
        <v>41.465710132309916</v>
      </c>
    </row>
    <row r="154" spans="1:18" x14ac:dyDescent="0.25">
      <c r="A154" s="1">
        <v>146</v>
      </c>
      <c r="B154" s="2">
        <f t="shared" si="58"/>
        <v>100</v>
      </c>
      <c r="C154" s="2">
        <f t="shared" si="59"/>
        <v>100</v>
      </c>
      <c r="D154" s="2">
        <f t="shared" si="66"/>
        <v>12.130357533723116</v>
      </c>
      <c r="E154" s="2" t="e">
        <f t="shared" si="67"/>
        <v>#DIV/0!</v>
      </c>
      <c r="F154" s="2">
        <f t="shared" si="68"/>
        <v>12.130357533723116</v>
      </c>
      <c r="G154" s="2" t="e">
        <f t="shared" si="69"/>
        <v>#NUM!</v>
      </c>
      <c r="H154" s="2">
        <f t="shared" si="60"/>
        <v>-151.43589743589743</v>
      </c>
      <c r="I154" s="2">
        <f t="shared" si="61"/>
        <v>-151.43589743589743</v>
      </c>
      <c r="M154" s="2">
        <f t="shared" si="62"/>
        <v>116.34323683249143</v>
      </c>
      <c r="N154" s="2">
        <f t="shared" si="63"/>
        <v>0</v>
      </c>
      <c r="O154" s="2">
        <f t="shared" si="64"/>
        <v>116.34323683249143</v>
      </c>
      <c r="P154" s="2">
        <f t="shared" si="65"/>
        <v>0</v>
      </c>
      <c r="Q154" s="1">
        <f t="shared" si="70"/>
        <v>41.41688367547556</v>
      </c>
      <c r="R154" s="1">
        <f t="shared" si="71"/>
        <v>41.41688367547556</v>
      </c>
    </row>
    <row r="155" spans="1:18" x14ac:dyDescent="0.25">
      <c r="A155" s="1">
        <v>147</v>
      </c>
      <c r="B155" s="2">
        <f t="shared" si="58"/>
        <v>100</v>
      </c>
      <c r="C155" s="2">
        <f t="shared" si="59"/>
        <v>100</v>
      </c>
      <c r="D155" s="2">
        <f t="shared" si="66"/>
        <v>12.075282012084582</v>
      </c>
      <c r="E155" s="2" t="e">
        <f t="shared" si="67"/>
        <v>#DIV/0!</v>
      </c>
      <c r="F155" s="2">
        <f t="shared" si="68"/>
        <v>12.075282012084582</v>
      </c>
      <c r="G155" s="2" t="e">
        <f t="shared" si="69"/>
        <v>#NUM!</v>
      </c>
      <c r="H155" s="2">
        <f t="shared" si="60"/>
        <v>-153</v>
      </c>
      <c r="I155" s="2">
        <f t="shared" si="61"/>
        <v>-153</v>
      </c>
      <c r="M155" s="2">
        <f t="shared" si="62"/>
        <v>116.66133284564742</v>
      </c>
      <c r="N155" s="2">
        <f t="shared" si="63"/>
        <v>0</v>
      </c>
      <c r="O155" s="2">
        <f t="shared" si="64"/>
        <v>116.66133284564742</v>
      </c>
      <c r="P155" s="2">
        <f t="shared" si="65"/>
        <v>0</v>
      </c>
      <c r="Q155" s="1">
        <f t="shared" si="70"/>
        <v>41.368447414285924</v>
      </c>
      <c r="R155" s="1">
        <f t="shared" si="71"/>
        <v>41.368447414285924</v>
      </c>
    </row>
    <row r="156" spans="1:18" x14ac:dyDescent="0.25">
      <c r="A156" s="1">
        <v>148</v>
      </c>
      <c r="B156" s="2">
        <f t="shared" si="58"/>
        <v>100</v>
      </c>
      <c r="C156" s="2">
        <f t="shared" si="59"/>
        <v>100</v>
      </c>
      <c r="D156" s="2">
        <f t="shared" si="66"/>
        <v>12.020827411634013</v>
      </c>
      <c r="E156" s="2" t="e">
        <f t="shared" si="67"/>
        <v>#DIV/0!</v>
      </c>
      <c r="F156" s="2">
        <f t="shared" si="68"/>
        <v>12.020827411634013</v>
      </c>
      <c r="G156" s="2" t="e">
        <f t="shared" si="69"/>
        <v>#NUM!</v>
      </c>
      <c r="H156" s="2">
        <f t="shared" si="60"/>
        <v>-154.56410256410254</v>
      </c>
      <c r="I156" s="2">
        <f t="shared" si="61"/>
        <v>-154.56410256410254</v>
      </c>
      <c r="M156" s="2">
        <f t="shared" si="62"/>
        <v>116.97813314085857</v>
      </c>
      <c r="N156" s="2">
        <f t="shared" si="63"/>
        <v>0</v>
      </c>
      <c r="O156" s="2">
        <f t="shared" si="64"/>
        <v>116.97813314085857</v>
      </c>
      <c r="P156" s="2">
        <f t="shared" si="65"/>
        <v>0</v>
      </c>
      <c r="Q156" s="1">
        <f t="shared" si="70"/>
        <v>41.320395607734376</v>
      </c>
      <c r="R156" s="1">
        <f t="shared" si="71"/>
        <v>41.320395607734376</v>
      </c>
    </row>
    <row r="157" spans="1:18" x14ac:dyDescent="0.25">
      <c r="A157" s="1">
        <v>149</v>
      </c>
      <c r="B157" s="2">
        <f t="shared" si="58"/>
        <v>100</v>
      </c>
      <c r="C157" s="2">
        <f t="shared" si="59"/>
        <v>100</v>
      </c>
      <c r="D157" s="2">
        <f t="shared" si="66"/>
        <v>11.966982607192122</v>
      </c>
      <c r="E157" s="2" t="e">
        <f t="shared" si="67"/>
        <v>#DIV/0!</v>
      </c>
      <c r="F157" s="2">
        <f t="shared" si="68"/>
        <v>11.966982607192122</v>
      </c>
      <c r="G157" s="2" t="e">
        <f t="shared" si="69"/>
        <v>#NUM!</v>
      </c>
      <c r="H157" s="2">
        <f t="shared" si="60"/>
        <v>-156.12820512820511</v>
      </c>
      <c r="I157" s="2">
        <f t="shared" si="61"/>
        <v>-156.12820512820511</v>
      </c>
      <c r="M157" s="2">
        <f t="shared" si="62"/>
        <v>117.29365169774368</v>
      </c>
      <c r="N157" s="2">
        <f t="shared" si="63"/>
        <v>0</v>
      </c>
      <c r="O157" s="2">
        <f t="shared" si="64"/>
        <v>117.29365169774368</v>
      </c>
      <c r="P157" s="2">
        <f t="shared" si="65"/>
        <v>0</v>
      </c>
      <c r="Q157" s="1">
        <f t="shared" si="70"/>
        <v>41.272722637352679</v>
      </c>
      <c r="R157" s="1">
        <f t="shared" si="71"/>
        <v>41.272722637352679</v>
      </c>
    </row>
    <row r="158" spans="1:18" x14ac:dyDescent="0.25">
      <c r="A158" s="1">
        <v>150</v>
      </c>
      <c r="B158" s="2">
        <f t="shared" si="58"/>
        <v>100</v>
      </c>
      <c r="C158" s="2">
        <f t="shared" si="59"/>
        <v>100</v>
      </c>
      <c r="D158" s="2">
        <f t="shared" si="66"/>
        <v>11.91373674583255</v>
      </c>
      <c r="E158" s="2" t="e">
        <f t="shared" si="67"/>
        <v>#DIV/0!</v>
      </c>
      <c r="F158" s="2">
        <f t="shared" si="68"/>
        <v>11.91373674583255</v>
      </c>
      <c r="G158" s="2" t="e">
        <f t="shared" si="69"/>
        <v>#NUM!</v>
      </c>
      <c r="H158" s="2">
        <f t="shared" si="60"/>
        <v>-157.69230769230768</v>
      </c>
      <c r="I158" s="2">
        <f t="shared" si="61"/>
        <v>-157.69230769230768</v>
      </c>
      <c r="M158" s="2">
        <f t="shared" si="62"/>
        <v>117.60790225246738</v>
      </c>
      <c r="N158" s="2">
        <f t="shared" si="63"/>
        <v>0</v>
      </c>
      <c r="O158" s="2">
        <f t="shared" si="64"/>
        <v>117.60790225246738</v>
      </c>
      <c r="P158" s="2">
        <f t="shared" si="65"/>
        <v>0</v>
      </c>
      <c r="Q158" s="1">
        <f t="shared" si="70"/>
        <v>41.225423003793523</v>
      </c>
      <c r="R158" s="1">
        <f t="shared" si="71"/>
        <v>41.225423003793523</v>
      </c>
    </row>
  </sheetData>
  <sheetProtection selectLockedCells="1" selectUnlockedCells="1"/>
  <conditionalFormatting sqref="AX11:AX19">
    <cfRule type="dataBar" priority="1">
      <dataBar>
        <cfvo type="min"/>
        <cfvo type="max"/>
        <color rgb="FF638EC6"/>
      </dataBar>
      <extLst>
        <ext xmlns:x14="http://schemas.microsoft.com/office/spreadsheetml/2009/9/main" uri="{B025F937-C7B1-47D3-B67F-A62EFF666E3E}">
          <x14:id>{138096DC-2319-478F-9797-28F0537ADB83}</x14:id>
        </ext>
      </extLst>
    </cfRule>
  </conditionalFormatting>
  <pageMargins left="0.7" right="0.7" top="0.75" bottom="0.75" header="0.3" footer="0.3"/>
  <pageSetup orientation="portrait" r:id="rId1"/>
  <ignoredErrors>
    <ignoredError sqref="AP6"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138096DC-2319-478F-9797-28F0537ADB83}">
            <x14:dataBar minLength="0" maxLength="100" border="1" negativeBarBorderColorSameAsPositive="0">
              <x14:cfvo type="autoMin"/>
              <x14:cfvo type="autoMax"/>
              <x14:borderColor rgb="FF638EC6"/>
              <x14:negativeFillColor rgb="FFFF0000"/>
              <x14:negativeBorderColor rgb="FFFF0000"/>
              <x14:axisColor rgb="FF000000"/>
            </x14:dataBar>
          </x14:cfRule>
          <xm:sqref>AX11:AX19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37</vt:i4>
      </vt:variant>
    </vt:vector>
  </HeadingPairs>
  <TitlesOfParts>
    <vt:vector size="39" baseType="lpstr">
      <vt:lpstr>Keterangan dan Instruksi</vt:lpstr>
      <vt:lpstr>Diagram</vt:lpstr>
      <vt:lpstr>alpha0</vt:lpstr>
      <vt:lpstr>alpha1</vt:lpstr>
      <vt:lpstr>ap1p20</vt:lpstr>
      <vt:lpstr>ap1p21</vt:lpstr>
      <vt:lpstr>beta0</vt:lpstr>
      <vt:lpstr>beta1</vt:lpstr>
      <vt:lpstr>gamma0</vt:lpstr>
      <vt:lpstr>gamma1</vt:lpstr>
      <vt:lpstr>interc0</vt:lpstr>
      <vt:lpstr>interc1</vt:lpstr>
      <vt:lpstr>K1e0</vt:lpstr>
      <vt:lpstr>K1e1</vt:lpstr>
      <vt:lpstr>K2e0</vt:lpstr>
      <vt:lpstr>K2e1</vt:lpstr>
      <vt:lpstr>L1e0</vt:lpstr>
      <vt:lpstr>L1e1</vt:lpstr>
      <vt:lpstr>L2e0</vt:lpstr>
      <vt:lpstr>L2e1</vt:lpstr>
      <vt:lpstr>mrs0</vt:lpstr>
      <vt:lpstr>mrsc0</vt:lpstr>
      <vt:lpstr>mrsc1</vt:lpstr>
      <vt:lpstr>mrt0</vt:lpstr>
      <vt:lpstr>mrts1</vt:lpstr>
      <vt:lpstr>SCapital0</vt:lpstr>
      <vt:lpstr>SCapital1</vt:lpstr>
      <vt:lpstr>SLab0</vt:lpstr>
      <vt:lpstr>SLab1</vt:lpstr>
      <vt:lpstr>TechA0</vt:lpstr>
      <vt:lpstr>TechA1</vt:lpstr>
      <vt:lpstr>TechB0</vt:lpstr>
      <vt:lpstr>TechB1</vt:lpstr>
      <vt:lpstr>util0</vt:lpstr>
      <vt:lpstr>util1</vt:lpstr>
      <vt:lpstr>X1e0</vt:lpstr>
      <vt:lpstr>X1e1</vt:lpstr>
      <vt:lpstr>X2e0</vt:lpstr>
      <vt:lpstr>X2e1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A. Yusuf</dc:creator>
  <cp:lastModifiedBy>MyPc</cp:lastModifiedBy>
  <dcterms:created xsi:type="dcterms:W3CDTF">2015-12-06T14:55:29Z</dcterms:created>
  <dcterms:modified xsi:type="dcterms:W3CDTF">2023-03-15T16:40:38Z</dcterms:modified>
</cp:coreProperties>
</file>