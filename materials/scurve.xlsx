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BI\TRAININGYOGYA\biyogya_files\"/>
    </mc:Choice>
  </mc:AlternateContent>
  <xr:revisionPtr revIDLastSave="0" documentId="8_{18984640-57BE-4085-893B-23EBCE3F6A57}" xr6:coauthVersionLast="44" xr6:coauthVersionMax="44" xr10:uidLastSave="{00000000-0000-0000-0000-000000000000}"/>
  <bookViews>
    <workbookView xWindow="-110" yWindow="-110" windowWidth="19420" windowHeight="10420" activeTab="1" xr2:uid="{9ED3FA29-ED35-430E-B456-2E4F75A335C9}"/>
  </bookViews>
  <sheets>
    <sheet name="Sheet1" sheetId="1" r:id="rId1"/>
    <sheet name="Sheet2" sheetId="2" r:id="rId2"/>
  </sheets>
  <definedNames>
    <definedName name="k">Sheet2!$G$4</definedName>
    <definedName name="L">Sheet2!$G$3</definedName>
    <definedName name="x0">Sheet2!$G$5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2" l="1"/>
  <c r="D9" i="2"/>
  <c r="D10" i="2"/>
  <c r="D11" i="2"/>
  <c r="F11" i="2" s="1"/>
  <c r="D12" i="2"/>
  <c r="D13" i="2"/>
  <c r="D14" i="2"/>
  <c r="D15" i="2"/>
  <c r="D16" i="2"/>
  <c r="D17" i="2"/>
  <c r="D18" i="2"/>
  <c r="D19" i="2"/>
  <c r="F19" i="2" s="1"/>
  <c r="D20" i="2"/>
  <c r="D21" i="2"/>
  <c r="D22" i="2"/>
  <c r="D23" i="2"/>
  <c r="F23" i="2" s="1"/>
  <c r="D24" i="2"/>
  <c r="D25" i="2"/>
  <c r="D26" i="2"/>
  <c r="D27" i="2"/>
  <c r="D7" i="2"/>
  <c r="F7" i="2" s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F10" i="2"/>
  <c r="F15" i="2"/>
  <c r="F22" i="2"/>
  <c r="F26" i="2"/>
  <c r="F27" i="2"/>
  <c r="F24" i="2"/>
  <c r="F25" i="2"/>
  <c r="E7" i="2"/>
  <c r="F8" i="2"/>
  <c r="F9" i="2"/>
  <c r="F12" i="2"/>
  <c r="F13" i="2"/>
  <c r="F14" i="2"/>
  <c r="F16" i="2"/>
  <c r="F17" i="2"/>
  <c r="F18" i="2"/>
  <c r="F20" i="2"/>
  <c r="F21" i="2"/>
  <c r="AE7" i="1"/>
  <c r="AD3" i="1"/>
  <c r="AE6" i="1"/>
  <c r="AE5" i="1"/>
  <c r="AE4" i="1"/>
  <c r="AE3" i="1"/>
  <c r="K3" i="1"/>
</calcChain>
</file>

<file path=xl/sharedStrings.xml><?xml version="1.0" encoding="utf-8"?>
<sst xmlns="http://schemas.openxmlformats.org/spreadsheetml/2006/main" count="663" uniqueCount="440">
  <si>
    <t>NatMacro</t>
  </si>
  <si>
    <t>7 RealGDP(B)</t>
  </si>
  <si>
    <t>No.</t>
  </si>
  <si>
    <t>String</t>
  </si>
  <si>
    <t>NAD</t>
  </si>
  <si>
    <t>SumUt</t>
  </si>
  <si>
    <t>SumBar</t>
  </si>
  <si>
    <t>RiauProv</t>
  </si>
  <si>
    <t>KepRi</t>
  </si>
  <si>
    <t>Jambi</t>
  </si>
  <si>
    <t>SumSel</t>
  </si>
  <si>
    <t>BaBel</t>
  </si>
  <si>
    <t>Bengkulu</t>
  </si>
  <si>
    <t>Lampung</t>
  </si>
  <si>
    <t>DKI</t>
  </si>
  <si>
    <t>JaBar</t>
  </si>
  <si>
    <t>Banten</t>
  </si>
  <si>
    <t>JaTeng</t>
  </si>
  <si>
    <t>DIY</t>
  </si>
  <si>
    <t>JaTim</t>
  </si>
  <si>
    <t>KalBar</t>
  </si>
  <si>
    <t>KalTeng</t>
  </si>
  <si>
    <t>KalSel</t>
  </si>
  <si>
    <t>KalTim</t>
  </si>
  <si>
    <t>KalUt</t>
  </si>
  <si>
    <t>SulUt</t>
  </si>
  <si>
    <t>Gorontalo</t>
  </si>
  <si>
    <t>SulTeng</t>
  </si>
  <si>
    <t>SulaSel</t>
  </si>
  <si>
    <t>SulBar</t>
  </si>
  <si>
    <t>SulTra</t>
  </si>
  <si>
    <t>Bali</t>
  </si>
  <si>
    <t>NTB</t>
  </si>
  <si>
    <t>NTT</t>
  </si>
  <si>
    <t>Maluku</t>
  </si>
  <si>
    <t>MalUt</t>
  </si>
  <si>
    <t>PapuaBar</t>
  </si>
  <si>
    <t>PapuaProv</t>
  </si>
  <si>
    <t>Sumatra</t>
  </si>
  <si>
    <t>Kalimantan</t>
  </si>
  <si>
    <t>Sulawesi</t>
  </si>
  <si>
    <t>BaliNusaTeng</t>
  </si>
  <si>
    <t>PapuaMaluku</t>
  </si>
  <si>
    <t>OthJava</t>
  </si>
  <si>
    <t>Rice</t>
  </si>
  <si>
    <t>Corn</t>
  </si>
  <si>
    <t>SweetPotato</t>
  </si>
  <si>
    <t>Cassava</t>
  </si>
  <si>
    <t>OthTubers</t>
  </si>
  <si>
    <t>Peanuts</t>
  </si>
  <si>
    <t>Soy</t>
  </si>
  <si>
    <t>OthNuts</t>
  </si>
  <si>
    <t>OthGrains</t>
  </si>
  <si>
    <t>Vegetables</t>
  </si>
  <si>
    <t>DecorPlants</t>
  </si>
  <si>
    <t>Cane</t>
  </si>
  <si>
    <t>Tobacco</t>
  </si>
  <si>
    <t>PlantFiber</t>
  </si>
  <si>
    <t>OthPlantaton</t>
  </si>
  <si>
    <t>Fruits</t>
  </si>
  <si>
    <t>PlantBiophrm</t>
  </si>
  <si>
    <t>Rubber</t>
  </si>
  <si>
    <t>Coconut</t>
  </si>
  <si>
    <t>PalmOil</t>
  </si>
  <si>
    <t>Coffee</t>
  </si>
  <si>
    <t>Tea</t>
  </si>
  <si>
    <t>Cocoa</t>
  </si>
  <si>
    <t>Clove</t>
  </si>
  <si>
    <t>Cashew</t>
  </si>
  <si>
    <t>Livestock</t>
  </si>
  <si>
    <t>FreshMilk</t>
  </si>
  <si>
    <t>PoultryEggs</t>
  </si>
  <si>
    <t>OthAnimalPrd</t>
  </si>
  <si>
    <t>AgricSvc</t>
  </si>
  <si>
    <t>Wood</t>
  </si>
  <si>
    <t>OthForestPrd</t>
  </si>
  <si>
    <t>Fish</t>
  </si>
  <si>
    <t>Shrimps</t>
  </si>
  <si>
    <t>OthAquatic</t>
  </si>
  <si>
    <t>Seaweed</t>
  </si>
  <si>
    <t>CoalLignite</t>
  </si>
  <si>
    <t>CrudeOil</t>
  </si>
  <si>
    <t>NaturalGas</t>
  </si>
  <si>
    <t>IronOre</t>
  </si>
  <si>
    <t>TinOre</t>
  </si>
  <si>
    <t>BauxiteOre</t>
  </si>
  <si>
    <t>CopperOre</t>
  </si>
  <si>
    <t>NickelOre</t>
  </si>
  <si>
    <t>OthMetalMine</t>
  </si>
  <si>
    <t>GoldOre</t>
  </si>
  <si>
    <t>SilverOre</t>
  </si>
  <si>
    <t>GalianPrd</t>
  </si>
  <si>
    <t>NonMetlMinrl</t>
  </si>
  <si>
    <t>CoarseSalt</t>
  </si>
  <si>
    <t>PetrolNatGas</t>
  </si>
  <si>
    <t>OthMiningQry</t>
  </si>
  <si>
    <t>Abattoir</t>
  </si>
  <si>
    <t>MeatProcessg</t>
  </si>
  <si>
    <t>DriedFish</t>
  </si>
  <si>
    <t>FishProcess</t>
  </si>
  <si>
    <t>VegFruitProc</t>
  </si>
  <si>
    <t>EdibleOils</t>
  </si>
  <si>
    <t>Copra</t>
  </si>
  <si>
    <t>DairyPrd</t>
  </si>
  <si>
    <t>OthFlour</t>
  </si>
  <si>
    <t>WheatFlour</t>
  </si>
  <si>
    <t>RiceMilling</t>
  </si>
  <si>
    <t>BreadBiscuit</t>
  </si>
  <si>
    <t>Sugar</t>
  </si>
  <si>
    <t>Confectionry</t>
  </si>
  <si>
    <t>PastaNoodle</t>
  </si>
  <si>
    <t>CoffeeProc</t>
  </si>
  <si>
    <t>TeaProc</t>
  </si>
  <si>
    <t>SoyProcessed</t>
  </si>
  <si>
    <t>OthFood</t>
  </si>
  <si>
    <t>AnimalFeed</t>
  </si>
  <si>
    <t>AlcoBeverage</t>
  </si>
  <si>
    <t>NonAlcoBev</t>
  </si>
  <si>
    <t>Cigarettes</t>
  </si>
  <si>
    <t>TobaccoPrd</t>
  </si>
  <si>
    <t>Yarn</t>
  </si>
  <si>
    <t>Textile</t>
  </si>
  <si>
    <t>RopesCarpets</t>
  </si>
  <si>
    <t>OthTextilPrd</t>
  </si>
  <si>
    <t>KnittedPrd</t>
  </si>
  <si>
    <t>Apparel</t>
  </si>
  <si>
    <t>Tanning</t>
  </si>
  <si>
    <t>LeatherPrd</t>
  </si>
  <si>
    <t>Footwear</t>
  </si>
  <si>
    <t>SawMill</t>
  </si>
  <si>
    <t>Plywood</t>
  </si>
  <si>
    <t>WoodBuildMat</t>
  </si>
  <si>
    <t>OthWoodPrdn</t>
  </si>
  <si>
    <t>PaperPulp</t>
  </si>
  <si>
    <t>Paper</t>
  </si>
  <si>
    <t>PaperPrd</t>
  </si>
  <si>
    <t>PrintedPrd</t>
  </si>
  <si>
    <t>OthNMmetlPrd</t>
  </si>
  <si>
    <t>OilAndGasRef</t>
  </si>
  <si>
    <t>BasChemicals</t>
  </si>
  <si>
    <t>Fertilizer</t>
  </si>
  <si>
    <t>Plastics</t>
  </si>
  <si>
    <t>Pesticide</t>
  </si>
  <si>
    <t>Paints</t>
  </si>
  <si>
    <t>Varnish</t>
  </si>
  <si>
    <t>Soaps</t>
  </si>
  <si>
    <t>Cosmetics</t>
  </si>
  <si>
    <t>OthChemPrd</t>
  </si>
  <si>
    <t>Pharmaceutcl</t>
  </si>
  <si>
    <t>TradMedicine</t>
  </si>
  <si>
    <t>Tire</t>
  </si>
  <si>
    <t>SmokedRubber</t>
  </si>
  <si>
    <t>OthRubberPrd</t>
  </si>
  <si>
    <t>PlasticPrd</t>
  </si>
  <si>
    <t>Glass</t>
  </si>
  <si>
    <t>ClayCermcPrd</t>
  </si>
  <si>
    <t>Cement</t>
  </si>
  <si>
    <t>BasIronSteel</t>
  </si>
  <si>
    <t>NonFerrMetal</t>
  </si>
  <si>
    <t>FoundryPrd</t>
  </si>
  <si>
    <t>FabMetalPrd</t>
  </si>
  <si>
    <t>WeaponsAmmo</t>
  </si>
  <si>
    <t>DomMetalPrd</t>
  </si>
  <si>
    <t>OthMetalPrd</t>
  </si>
  <si>
    <t>ElectroncPrd</t>
  </si>
  <si>
    <t>Instruments</t>
  </si>
  <si>
    <t>ElecMotorGen</t>
  </si>
  <si>
    <t>ElectEqp</t>
  </si>
  <si>
    <t>Batteries</t>
  </si>
  <si>
    <t>OthElecEqp</t>
  </si>
  <si>
    <t>DomElectEqp</t>
  </si>
  <si>
    <t>PrimaryMover</t>
  </si>
  <si>
    <t>OfficeMachin</t>
  </si>
  <si>
    <t>OthMachinEqp</t>
  </si>
  <si>
    <t>MotorVehicle</t>
  </si>
  <si>
    <t>Ships</t>
  </si>
  <si>
    <t>RailwayEqp</t>
  </si>
  <si>
    <t>Aircraft</t>
  </si>
  <si>
    <t>OthTrnsEqp</t>
  </si>
  <si>
    <t>Motorcycle</t>
  </si>
  <si>
    <t>Furniture</t>
  </si>
  <si>
    <t>Jewelry</t>
  </si>
  <si>
    <t>MusicInstrum</t>
  </si>
  <si>
    <t>SportsEquip</t>
  </si>
  <si>
    <t>GamesAndToys</t>
  </si>
  <si>
    <t>MedicalDvces</t>
  </si>
  <si>
    <t>OthIndustPrd</t>
  </si>
  <si>
    <t>ManMtlRepair</t>
  </si>
  <si>
    <t>Electricity</t>
  </si>
  <si>
    <t>GasDist</t>
  </si>
  <si>
    <t>WaterSupply</t>
  </si>
  <si>
    <t>WasteManage</t>
  </si>
  <si>
    <t>ResidBuildng</t>
  </si>
  <si>
    <t>EleGasInfstr</t>
  </si>
  <si>
    <t>AgricInfstrc</t>
  </si>
  <si>
    <t>RoadsBridges</t>
  </si>
  <si>
    <t>OthBuildings</t>
  </si>
  <si>
    <t>CarTrading</t>
  </si>
  <si>
    <t>CarRepair</t>
  </si>
  <si>
    <t>OthTrade</t>
  </si>
  <si>
    <t>RailTransprt</t>
  </si>
  <si>
    <t>LandTransprt</t>
  </si>
  <si>
    <t>SeaTransport</t>
  </si>
  <si>
    <t>RiverTrnsprt</t>
  </si>
  <si>
    <t>AirTransport</t>
  </si>
  <si>
    <t>TransportSvc</t>
  </si>
  <si>
    <t>Postal</t>
  </si>
  <si>
    <t>Hotels</t>
  </si>
  <si>
    <t>Restaurants</t>
  </si>
  <si>
    <t>Publishing</t>
  </si>
  <si>
    <t>Broadcasting</t>
  </si>
  <si>
    <t>Telecommunic</t>
  </si>
  <si>
    <t>InformatTech</t>
  </si>
  <si>
    <t>FinancialSvc</t>
  </si>
  <si>
    <t>InsuranceSvc</t>
  </si>
  <si>
    <t>PensionSvc</t>
  </si>
  <si>
    <t>OthFinancSvc</t>
  </si>
  <si>
    <t>RealEstatSvc</t>
  </si>
  <si>
    <t>ProfSciTech</t>
  </si>
  <si>
    <t>RentalSvc</t>
  </si>
  <si>
    <t>GenGovernmet</t>
  </si>
  <si>
    <t>GovEducation</t>
  </si>
  <si>
    <t>GovHealth</t>
  </si>
  <si>
    <t>OthGovSvc</t>
  </si>
  <si>
    <t>PrvEducation</t>
  </si>
  <si>
    <t>PrvHealth</t>
  </si>
  <si>
    <t>ArtsEntrtain</t>
  </si>
  <si>
    <t>HholdRepairs</t>
  </si>
  <si>
    <t>OthSvc</t>
  </si>
  <si>
    <t>From</t>
  </si>
  <si>
    <t>To</t>
  </si>
  <si>
    <t>1 Rice</t>
  </si>
  <si>
    <t>2 Corn</t>
  </si>
  <si>
    <t>3 SweetPotato</t>
  </si>
  <si>
    <t>4 Cassava</t>
  </si>
  <si>
    <t>5 OthTubers</t>
  </si>
  <si>
    <t>6 Peanuts</t>
  </si>
  <si>
    <t>7 Soy</t>
  </si>
  <si>
    <t>8 OthNuts</t>
  </si>
  <si>
    <t>9 OthGrains</t>
  </si>
  <si>
    <t>10 Vegetables</t>
  </si>
  <si>
    <t>11 DecorPlants</t>
  </si>
  <si>
    <t>12 Cane</t>
  </si>
  <si>
    <t>13 Tobacco</t>
  </si>
  <si>
    <t>14 PlantFiber</t>
  </si>
  <si>
    <t>15 OthPlantaton</t>
  </si>
  <si>
    <t>16 Fruits</t>
  </si>
  <si>
    <t>17 PlantBiophrm</t>
  </si>
  <si>
    <t>18 Rubber</t>
  </si>
  <si>
    <t>19 Coconut</t>
  </si>
  <si>
    <t>20 PalmOil</t>
  </si>
  <si>
    <t>21 Coffee</t>
  </si>
  <si>
    <t>22 Tea</t>
  </si>
  <si>
    <t>23 Cocoa</t>
  </si>
  <si>
    <t>24 Clove</t>
  </si>
  <si>
    <t>25 Cashew</t>
  </si>
  <si>
    <t>26 Livestock</t>
  </si>
  <si>
    <t>27 FreshMilk</t>
  </si>
  <si>
    <t>28 PoultryEggs</t>
  </si>
  <si>
    <t>29 OthAnimalPrd</t>
  </si>
  <si>
    <t>30 AgricSvc</t>
  </si>
  <si>
    <t>OthServices</t>
  </si>
  <si>
    <t>31 Wood</t>
  </si>
  <si>
    <t>Forestry</t>
  </si>
  <si>
    <t>32 OthForestPrd</t>
  </si>
  <si>
    <t>33 Fish</t>
  </si>
  <si>
    <t>Fishing</t>
  </si>
  <si>
    <t>34 Shrimps</t>
  </si>
  <si>
    <t>35 OthAquatic</t>
  </si>
  <si>
    <t>36 Seaweed</t>
  </si>
  <si>
    <t>37 CoalLignite</t>
  </si>
  <si>
    <t>OtherMining</t>
  </si>
  <si>
    <t>38 CrudeOil</t>
  </si>
  <si>
    <t>OilGas</t>
  </si>
  <si>
    <t>39 NaturalGas</t>
  </si>
  <si>
    <t>40 IronOre</t>
  </si>
  <si>
    <t>41 TinOre</t>
  </si>
  <si>
    <t>42 BauxiteOre</t>
  </si>
  <si>
    <t>43 CopperOre</t>
  </si>
  <si>
    <t>44 NickelOre</t>
  </si>
  <si>
    <t>45 OthMetalMine</t>
  </si>
  <si>
    <t>46 GoldOre</t>
  </si>
  <si>
    <t>47 SilverOre</t>
  </si>
  <si>
    <t>48 GalianPrd</t>
  </si>
  <si>
    <t>49 NonMetlMinrl</t>
  </si>
  <si>
    <t>50 CoarseSalt</t>
  </si>
  <si>
    <t>51 PetrolNatGas</t>
  </si>
  <si>
    <t>PetrolLNG</t>
  </si>
  <si>
    <t>52 OthMiningQry</t>
  </si>
  <si>
    <t>53 Abattoir</t>
  </si>
  <si>
    <t>FoodProds</t>
  </si>
  <si>
    <t>54 MeatProcessg</t>
  </si>
  <si>
    <t>55 DriedFish</t>
  </si>
  <si>
    <t>56 FishProcess</t>
  </si>
  <si>
    <t>57 VegFruitProc</t>
  </si>
  <si>
    <t>58 EdibleOils</t>
  </si>
  <si>
    <t>59 Copra</t>
  </si>
  <si>
    <t>60 DairyPrd</t>
  </si>
  <si>
    <t>61 OthFlour</t>
  </si>
  <si>
    <t>62 WheatFlour</t>
  </si>
  <si>
    <t>63 RiceMilling</t>
  </si>
  <si>
    <t>64 BreadBiscuit</t>
  </si>
  <si>
    <t>65 Sugar</t>
  </si>
  <si>
    <t>66 Confectionry</t>
  </si>
  <si>
    <t>67 PastaNoodle</t>
  </si>
  <si>
    <t>68 CoffeeProc</t>
  </si>
  <si>
    <t>69 TeaProc</t>
  </si>
  <si>
    <t>70 SoyProcessed</t>
  </si>
  <si>
    <t>71 OthFood</t>
  </si>
  <si>
    <t>72 AnimalFeed</t>
  </si>
  <si>
    <t>73 AlcoBeverage</t>
  </si>
  <si>
    <t>74 NonAlcoBev</t>
  </si>
  <si>
    <t>75 Cigarettes</t>
  </si>
  <si>
    <t>76 TobaccoPrd</t>
  </si>
  <si>
    <t>77 Yarn</t>
  </si>
  <si>
    <t>TCF</t>
  </si>
  <si>
    <t>78 Textile</t>
  </si>
  <si>
    <t>79 RopesCarpets</t>
  </si>
  <si>
    <t>80 OthTextilPrd</t>
  </si>
  <si>
    <t>81 KnittedPrd</t>
  </si>
  <si>
    <t>82 Apparel</t>
  </si>
  <si>
    <t>83 Tanning</t>
  </si>
  <si>
    <t>84 LeatherPrd</t>
  </si>
  <si>
    <t>85 Footwear</t>
  </si>
  <si>
    <t>86 SawMill</t>
  </si>
  <si>
    <t>WoodPrd</t>
  </si>
  <si>
    <t>87 Plywood</t>
  </si>
  <si>
    <t>88 WoodBuildMat</t>
  </si>
  <si>
    <t>89 OthWoodPrdn</t>
  </si>
  <si>
    <t>90 PaperPulp</t>
  </si>
  <si>
    <t>91 Paper</t>
  </si>
  <si>
    <t>92 PaperPrd</t>
  </si>
  <si>
    <t>93 PrintedPrd</t>
  </si>
  <si>
    <t>94 OthNMmetlPrd</t>
  </si>
  <si>
    <t>OthManufact</t>
  </si>
  <si>
    <t>95 OilAndGasRef</t>
  </si>
  <si>
    <t>96 BasChemicals</t>
  </si>
  <si>
    <t>ChemRubrPlas</t>
  </si>
  <si>
    <t>97 Fertilizer</t>
  </si>
  <si>
    <t>98 Plastics</t>
  </si>
  <si>
    <t>99 Pesticide</t>
  </si>
  <si>
    <t>100 Paints</t>
  </si>
  <si>
    <t>101 Varnish</t>
  </si>
  <si>
    <t>102 Soaps</t>
  </si>
  <si>
    <t>103 Cosmetics</t>
  </si>
  <si>
    <t>104 OthChemPrd</t>
  </si>
  <si>
    <t>105 Pharmaceutcl</t>
  </si>
  <si>
    <t>106 TradMedicine</t>
  </si>
  <si>
    <t>107 Tire</t>
  </si>
  <si>
    <t>108 SmokedRubber</t>
  </si>
  <si>
    <t>109 OthRubberPrd</t>
  </si>
  <si>
    <t>110 PlasticPrd</t>
  </si>
  <si>
    <t>111 Glass</t>
  </si>
  <si>
    <t>112 ClayCermcPrd</t>
  </si>
  <si>
    <t>113 Cement</t>
  </si>
  <si>
    <t>114 BasIronSteel</t>
  </si>
  <si>
    <t>MetalProds</t>
  </si>
  <si>
    <t>115 NonFerrMetal</t>
  </si>
  <si>
    <t>116 FoundryPrd</t>
  </si>
  <si>
    <t>117 FabMetalPrd</t>
  </si>
  <si>
    <t>118 WeaponsAmmo</t>
  </si>
  <si>
    <t>119 DomMetalPrd</t>
  </si>
  <si>
    <t>120 OthMetalPrd</t>
  </si>
  <si>
    <t>121 ElectroncPrd</t>
  </si>
  <si>
    <t>VehicEquip</t>
  </si>
  <si>
    <t>122 Instruments</t>
  </si>
  <si>
    <t>123 ElecMotorGen</t>
  </si>
  <si>
    <t>124 ElectEqp</t>
  </si>
  <si>
    <t>125 Batteries</t>
  </si>
  <si>
    <t>126 OthElecEqp</t>
  </si>
  <si>
    <t>127 DomElectEqp</t>
  </si>
  <si>
    <t>128 PrimaryMover</t>
  </si>
  <si>
    <t>129 OfficeMachin</t>
  </si>
  <si>
    <t>130 OthMachinEqp</t>
  </si>
  <si>
    <t>131 MotorVehicle</t>
  </si>
  <si>
    <t>132 Ships</t>
  </si>
  <si>
    <t>133 RailwayEqp</t>
  </si>
  <si>
    <t>134 Aircraft</t>
  </si>
  <si>
    <t>135 OthTrnsEqp</t>
  </si>
  <si>
    <t>136 Motorcycle</t>
  </si>
  <si>
    <t>137 Furniture</t>
  </si>
  <si>
    <t>138 Jewelry</t>
  </si>
  <si>
    <t>139 MusicInstrum</t>
  </si>
  <si>
    <t>140 SportsEquip</t>
  </si>
  <si>
    <t>141 GamesAndToys</t>
  </si>
  <si>
    <t>142 MedicalDvces</t>
  </si>
  <si>
    <t>143 OthIndustPrd</t>
  </si>
  <si>
    <t>144 ManMtlRepair</t>
  </si>
  <si>
    <t>145 Electricity</t>
  </si>
  <si>
    <t>146 GasDist</t>
  </si>
  <si>
    <t>147 WaterSupply</t>
  </si>
  <si>
    <t>148 WasteManage</t>
  </si>
  <si>
    <t>149 ResidBuildng</t>
  </si>
  <si>
    <t>Construction</t>
  </si>
  <si>
    <t>150 EleGasInfstr</t>
  </si>
  <si>
    <t>151 AgricInfstrc</t>
  </si>
  <si>
    <t>152 RoadsBridges</t>
  </si>
  <si>
    <t>153 OthBuildings</t>
  </si>
  <si>
    <t>154 CarTrading</t>
  </si>
  <si>
    <t>Trade</t>
  </si>
  <si>
    <t>155 CarRepair</t>
  </si>
  <si>
    <t>156 OthTrade</t>
  </si>
  <si>
    <t>157 RailTransprt</t>
  </si>
  <si>
    <t>Transport</t>
  </si>
  <si>
    <t>158 LandTransprt</t>
  </si>
  <si>
    <t>159 SeaTransport</t>
  </si>
  <si>
    <t>160 RiverTrnsprt</t>
  </si>
  <si>
    <t>161 AirTransport</t>
  </si>
  <si>
    <t>162 TransportSvc</t>
  </si>
  <si>
    <t>163 Postal</t>
  </si>
  <si>
    <t>164 Hotels</t>
  </si>
  <si>
    <t>165 Restaurants</t>
  </si>
  <si>
    <t>166 Publishing</t>
  </si>
  <si>
    <t>167 Broadcasting</t>
  </si>
  <si>
    <t>168 Telecommunic</t>
  </si>
  <si>
    <t>169 InformatTech</t>
  </si>
  <si>
    <t>170 FinancialSvc</t>
  </si>
  <si>
    <t>171 InsuranceSvc</t>
  </si>
  <si>
    <t>172 PensionSvc</t>
  </si>
  <si>
    <t>173 OthFinancSvc</t>
  </si>
  <si>
    <t>174 RealEstatSvc</t>
  </si>
  <si>
    <t>175 ProfSciTech</t>
  </si>
  <si>
    <t>176 RentalSvc</t>
  </si>
  <si>
    <t>177 GenGovernmet</t>
  </si>
  <si>
    <t>178 GovEducation</t>
  </si>
  <si>
    <t>179 GovHealth</t>
  </si>
  <si>
    <t>180 OthGovSvc</t>
  </si>
  <si>
    <t>181 PrvEducation</t>
  </si>
  <si>
    <t>182 PrvHealth</t>
  </si>
  <si>
    <t>183 ArtsEntrtain</t>
  </si>
  <si>
    <t>184 HholdRepairs</t>
  </si>
  <si>
    <t>185 OthSvc</t>
  </si>
  <si>
    <t>Govt</t>
  </si>
  <si>
    <t>FoodCrops</t>
  </si>
  <si>
    <t>OthCrops</t>
  </si>
  <si>
    <t>Paddy</t>
  </si>
  <si>
    <t>k =</t>
  </si>
  <si>
    <t>L =</t>
  </si>
  <si>
    <t>x0 =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</si>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</sst>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Sheet2!$F$6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Sheet2!$E$7:$E$27</c:f>
              <c:numCache>
                <c:formatCode>General</c:formatCode>
                <c:ptCount val="2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</c:numCache>
            </c:numRef>
          </c:cat>
          <c:val>
            <c:numRef>
              <c:f>Sheet2!$F$7:$F$27</c:f>
              <c:numCache>
                <c:formatCode>0.0</c:formatCode>
                <c:ptCount val="21"/>
                <c:pt idx="0">
                  <c:v>8.0314211091418272E-2</c:v>
                </c:pt>
                <c:pt idx="1">
                  <c:v>0.21583451954509872</c:v>
                </c:pt>
                <c:pt idx="2">
                  <c:v>0.5691104781308014</c:v>
                </c:pt>
                <c:pt idx="3">
                  <c:v>1.4304350642654107</c:v>
                </c:pt>
                <c:pt idx="4">
                  <c:v>3.2272970564399417</c:v>
                </c:pt>
                <c:pt idx="5">
                  <c:v>6</c:v>
                </c:pt>
                <c:pt idx="6">
                  <c:v>8.7727029435600592</c:v>
                </c:pt>
                <c:pt idx="7">
                  <c:v>10.569564935734588</c:v>
                </c:pt>
                <c:pt idx="8">
                  <c:v>11.430889521869199</c:v>
                </c:pt>
                <c:pt idx="9">
                  <c:v>11.784165480454901</c:v>
                </c:pt>
                <c:pt idx="10">
                  <c:v>11.919685788908582</c:v>
                </c:pt>
                <c:pt idx="11">
                  <c:v>11.970328522120385</c:v>
                </c:pt>
                <c:pt idx="12">
                  <c:v>11.989067385667193</c:v>
                </c:pt>
                <c:pt idx="13">
                  <c:v>11.995975798434404</c:v>
                </c:pt>
                <c:pt idx="14">
                  <c:v>11.998519265088165</c:v>
                </c:pt>
                <c:pt idx="15">
                  <c:v>11.99945522557557</c:v>
                </c:pt>
                <c:pt idx="16">
                  <c:v>11.999799582937824</c:v>
                </c:pt>
                <c:pt idx="17">
                  <c:v>11.999926269904773</c:v>
                </c:pt>
                <c:pt idx="18">
                  <c:v>11.999972876108425</c:v>
                </c:pt>
                <c:pt idx="19">
                  <c:v>11.999990021663667</c:v>
                </c:pt>
                <c:pt idx="20">
                  <c:v>11.999996329173277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15-4119-A9A0-1B1C8E7D9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6783248"/>
        <c:axId val="1211656592"/>
      </c:lineChart>
      <c:catAx>
        <c:axId val="121678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656592"/>
        <c:crosses val="autoZero"/>
        <c:auto val="1"/>
        <c:lblAlgn val="ctr"/>
        <c:lblOffset val="100"/>
        <c:noMultiLvlLbl val="0"/>
      </c:catAx>
      <c:valAx>
        <c:axId val="121165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78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358775</xdr:colOff>
      <xdr:row>7</xdr:row>
      <xdr:rowOff>88900</xdr:rowOff>
    </xdr:from>
    <xdr:to>
      <xdr:col>17</xdr:col>
      <xdr:colOff>53975</xdr:colOff>
      <xdr:row>22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651A35-0635-492E-96A1-0362D9596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1C7C-A5B1-4C3C-A413-3EB67D044044}">
  <dimension ref="A1:AE193"/>
  <sheetViews>
    <sheetView topLeftCell="M10" workbookViewId="0">
      <selection activeCell="P10" sqref="P10"/>
    </sheetView>
  </sheetViews>
  <sheetFormatPr defaultRowHeight="14.5" x14ac:dyDescent="0.35"/>
  <sheetData>
    <row r="1" spans="1:31" x14ac:dyDescent="0.35">
      <c r="A1" t="s">
        <v>0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  <c r="Q1">
        <v>2026</v>
      </c>
      <c r="R1">
        <v>2027</v>
      </c>
      <c r="S1">
        <v>2028</v>
      </c>
      <c r="T1">
        <v>2029</v>
      </c>
      <c r="U1">
        <v>2030</v>
      </c>
      <c r="V1">
        <v>2031</v>
      </c>
      <c r="W1">
        <v>2032</v>
      </c>
      <c r="X1">
        <v>2033</v>
      </c>
      <c r="Y1">
        <v>2034</v>
      </c>
      <c r="Z1">
        <v>2035</v>
      </c>
      <c r="AA1">
        <v>2036</v>
      </c>
      <c r="AB1">
        <v>2037</v>
      </c>
      <c r="AC1">
        <v>2038</v>
      </c>
      <c r="AD1">
        <v>2039</v>
      </c>
      <c r="AE1">
        <v>2040</v>
      </c>
    </row>
    <row r="2" spans="1:31" x14ac:dyDescent="0.35">
      <c r="A2" t="s">
        <v>1</v>
      </c>
      <c r="B2">
        <v>5.4413549999999997</v>
      </c>
      <c r="C2">
        <v>11.178794999999999</v>
      </c>
      <c r="D2">
        <v>17.22842</v>
      </c>
      <c r="E2">
        <v>23.607206000000001</v>
      </c>
      <c r="F2">
        <v>30.333055000000002</v>
      </c>
      <c r="G2">
        <v>37.424849999999999</v>
      </c>
      <c r="H2">
        <v>44.825195000000001</v>
      </c>
      <c r="I2">
        <v>52.550376999999997</v>
      </c>
      <c r="J2">
        <v>60.632381000000002</v>
      </c>
      <c r="K2">
        <v>69.103843999999995</v>
      </c>
      <c r="L2">
        <v>77.996887000000001</v>
      </c>
      <c r="M2">
        <v>87.344734000000003</v>
      </c>
      <c r="N2">
        <v>97.179305999999997</v>
      </c>
      <c r="O2">
        <v>107.526009</v>
      </c>
      <c r="P2">
        <v>118.40033</v>
      </c>
      <c r="Q2">
        <v>129.809326</v>
      </c>
      <c r="R2">
        <v>141.756775</v>
      </c>
      <c r="S2">
        <v>154.24850499999999</v>
      </c>
      <c r="T2">
        <v>167.295593</v>
      </c>
      <c r="U2">
        <v>180.91497799999999</v>
      </c>
      <c r="V2">
        <v>195.12832599999999</v>
      </c>
      <c r="W2">
        <v>209.96040300000001</v>
      </c>
      <c r="X2">
        <v>225.437592</v>
      </c>
      <c r="Y2">
        <v>241.586975</v>
      </c>
      <c r="Z2">
        <v>258.43588299999999</v>
      </c>
      <c r="AA2">
        <v>276.01177999999999</v>
      </c>
      <c r="AB2">
        <v>294.34216300000003</v>
      </c>
      <c r="AC2">
        <v>313.45455900000002</v>
      </c>
      <c r="AD2">
        <v>333.37619000000001</v>
      </c>
      <c r="AE2">
        <v>354.13382000000001</v>
      </c>
    </row>
    <row r="3" spans="1:31" x14ac:dyDescent="0.35">
      <c r="K3">
        <f>K2+100</f>
        <v>169.10384399999998</v>
      </c>
      <c r="AD3">
        <f>AD2+100</f>
        <v>433.37619000000001</v>
      </c>
      <c r="AE3">
        <f>AE2+100</f>
        <v>454.13382000000001</v>
      </c>
    </row>
    <row r="4" spans="1:31" x14ac:dyDescent="0.35">
      <c r="AE4">
        <f>AE3/K3</f>
        <v>2.685532210610186</v>
      </c>
    </row>
    <row r="5" spans="1:31" x14ac:dyDescent="0.35">
      <c r="AE5">
        <f>AE4*100</f>
        <v>268.55322106101858</v>
      </c>
    </row>
    <row r="6" spans="1:31" x14ac:dyDescent="0.35">
      <c r="AE6" s="1">
        <f>((AE5/100)^(1/20))-1</f>
        <v>5.0634162590266873E-2</v>
      </c>
    </row>
    <row r="7" spans="1:31" x14ac:dyDescent="0.35">
      <c r="AE7">
        <f>AE3/AD3</f>
        <v>1.0478974860155561</v>
      </c>
    </row>
    <row r="8" spans="1:31" x14ac:dyDescent="0.35">
      <c r="M8" t="s">
        <v>2</v>
      </c>
      <c r="N8" t="s">
        <v>3</v>
      </c>
      <c r="O8" t="s">
        <v>3</v>
      </c>
      <c r="S8" t="s">
        <v>2</v>
      </c>
      <c r="T8" t="s">
        <v>3</v>
      </c>
      <c r="U8" t="s">
        <v>229</v>
      </c>
      <c r="V8" t="s">
        <v>230</v>
      </c>
    </row>
    <row r="9" spans="1:31" x14ac:dyDescent="0.35">
      <c r="M9">
        <v>1</v>
      </c>
      <c r="N9" t="s">
        <v>4</v>
      </c>
      <c r="O9" t="s">
        <v>38</v>
      </c>
      <c r="P9" t="s">
        <v>38</v>
      </c>
      <c r="S9">
        <v>1</v>
      </c>
      <c r="T9" t="s">
        <v>44</v>
      </c>
      <c r="U9" t="s">
        <v>231</v>
      </c>
      <c r="V9" t="s">
        <v>435</v>
      </c>
      <c r="W9" t="s">
        <v>435</v>
      </c>
    </row>
    <row r="10" spans="1:31" x14ac:dyDescent="0.35">
      <c r="M10">
        <v>2</v>
      </c>
      <c r="N10" t="s">
        <v>5</v>
      </c>
      <c r="O10" t="s">
        <v>38</v>
      </c>
      <c r="P10" t="s">
        <v>43</v>
      </c>
      <c r="S10">
        <v>2</v>
      </c>
      <c r="T10" t="s">
        <v>45</v>
      </c>
      <c r="U10" t="s">
        <v>232</v>
      </c>
      <c r="V10" t="s">
        <v>433</v>
      </c>
      <c r="W10" t="s">
        <v>433</v>
      </c>
    </row>
    <row r="11" spans="1:31" x14ac:dyDescent="0.35">
      <c r="M11">
        <v>3</v>
      </c>
      <c r="N11" t="s">
        <v>6</v>
      </c>
      <c r="O11" t="s">
        <v>38</v>
      </c>
      <c r="P11" t="s">
        <v>18</v>
      </c>
      <c r="S11">
        <v>3</v>
      </c>
      <c r="T11" t="s">
        <v>46</v>
      </c>
      <c r="U11" t="s">
        <v>233</v>
      </c>
      <c r="V11" t="s">
        <v>433</v>
      </c>
      <c r="W11" t="s">
        <v>434</v>
      </c>
    </row>
    <row r="12" spans="1:31" x14ac:dyDescent="0.35">
      <c r="M12">
        <v>4</v>
      </c>
      <c r="N12" t="s">
        <v>7</v>
      </c>
      <c r="O12" t="s">
        <v>38</v>
      </c>
      <c r="P12" t="s">
        <v>39</v>
      </c>
      <c r="S12">
        <v>4</v>
      </c>
      <c r="T12" t="s">
        <v>47</v>
      </c>
      <c r="U12" t="s">
        <v>234</v>
      </c>
      <c r="V12" t="s">
        <v>433</v>
      </c>
      <c r="W12" t="s">
        <v>261</v>
      </c>
    </row>
    <row r="13" spans="1:31" x14ac:dyDescent="0.35">
      <c r="M13">
        <v>5</v>
      </c>
      <c r="N13" t="s">
        <v>8</v>
      </c>
      <c r="O13" t="s">
        <v>38</v>
      </c>
      <c r="P13" t="s">
        <v>40</v>
      </c>
      <c r="S13">
        <v>5</v>
      </c>
      <c r="T13" t="s">
        <v>48</v>
      </c>
      <c r="U13" t="s">
        <v>235</v>
      </c>
      <c r="V13" t="s">
        <v>433</v>
      </c>
      <c r="W13" t="s">
        <v>263</v>
      </c>
    </row>
    <row r="14" spans="1:31" x14ac:dyDescent="0.35">
      <c r="M14">
        <v>6</v>
      </c>
      <c r="N14" t="s">
        <v>9</v>
      </c>
      <c r="O14" t="s">
        <v>38</v>
      </c>
      <c r="P14" t="s">
        <v>41</v>
      </c>
      <c r="S14">
        <v>6</v>
      </c>
      <c r="T14" t="s">
        <v>49</v>
      </c>
      <c r="U14" t="s">
        <v>236</v>
      </c>
      <c r="V14" t="s">
        <v>433</v>
      </c>
      <c r="W14" t="s">
        <v>266</v>
      </c>
    </row>
    <row r="15" spans="1:31" x14ac:dyDescent="0.35">
      <c r="M15">
        <v>7</v>
      </c>
      <c r="N15" t="s">
        <v>10</v>
      </c>
      <c r="O15" t="s">
        <v>38</v>
      </c>
      <c r="P15" t="s">
        <v>42</v>
      </c>
      <c r="S15">
        <v>7</v>
      </c>
      <c r="T15" t="s">
        <v>50</v>
      </c>
      <c r="U15" t="s">
        <v>237</v>
      </c>
      <c r="V15" t="s">
        <v>433</v>
      </c>
      <c r="W15" t="s">
        <v>271</v>
      </c>
    </row>
    <row r="16" spans="1:31" x14ac:dyDescent="0.35">
      <c r="M16">
        <v>8</v>
      </c>
      <c r="N16" t="s">
        <v>11</v>
      </c>
      <c r="O16" t="s">
        <v>38</v>
      </c>
      <c r="S16">
        <v>8</v>
      </c>
      <c r="T16" t="s">
        <v>51</v>
      </c>
      <c r="U16" t="s">
        <v>238</v>
      </c>
      <c r="V16" t="s">
        <v>433</v>
      </c>
      <c r="W16" t="s">
        <v>273</v>
      </c>
    </row>
    <row r="17" spans="13:23" x14ac:dyDescent="0.35">
      <c r="M17">
        <v>9</v>
      </c>
      <c r="N17" t="s">
        <v>12</v>
      </c>
      <c r="O17" t="s">
        <v>38</v>
      </c>
      <c r="S17">
        <v>9</v>
      </c>
      <c r="T17" t="s">
        <v>52</v>
      </c>
      <c r="U17" t="s">
        <v>239</v>
      </c>
      <c r="V17" t="s">
        <v>433</v>
      </c>
      <c r="W17" t="s">
        <v>287</v>
      </c>
    </row>
    <row r="18" spans="13:23" x14ac:dyDescent="0.35">
      <c r="M18">
        <v>10</v>
      </c>
      <c r="N18" t="s">
        <v>13</v>
      </c>
      <c r="O18" t="s">
        <v>38</v>
      </c>
      <c r="S18">
        <v>10</v>
      </c>
      <c r="T18" t="s">
        <v>53</v>
      </c>
      <c r="U18" t="s">
        <v>240</v>
      </c>
      <c r="V18" t="s">
        <v>433</v>
      </c>
      <c r="W18" t="s">
        <v>290</v>
      </c>
    </row>
    <row r="19" spans="13:23" x14ac:dyDescent="0.35">
      <c r="M19">
        <v>11</v>
      </c>
      <c r="N19" t="s">
        <v>14</v>
      </c>
      <c r="O19" t="s">
        <v>43</v>
      </c>
      <c r="S19">
        <v>11</v>
      </c>
      <c r="T19" t="s">
        <v>54</v>
      </c>
      <c r="U19" t="s">
        <v>241</v>
      </c>
      <c r="V19" t="s">
        <v>434</v>
      </c>
      <c r="W19" t="s">
        <v>315</v>
      </c>
    </row>
    <row r="20" spans="13:23" x14ac:dyDescent="0.35">
      <c r="M20">
        <v>12</v>
      </c>
      <c r="N20" t="s">
        <v>15</v>
      </c>
      <c r="O20" t="s">
        <v>43</v>
      </c>
      <c r="S20">
        <v>12</v>
      </c>
      <c r="T20" t="s">
        <v>55</v>
      </c>
      <c r="U20" t="s">
        <v>242</v>
      </c>
      <c r="V20" t="s">
        <v>434</v>
      </c>
      <c r="W20" t="s">
        <v>325</v>
      </c>
    </row>
    <row r="21" spans="13:23" x14ac:dyDescent="0.35">
      <c r="M21">
        <v>13</v>
      </c>
      <c r="N21" t="s">
        <v>16</v>
      </c>
      <c r="O21" t="s">
        <v>43</v>
      </c>
      <c r="S21">
        <v>13</v>
      </c>
      <c r="T21" t="s">
        <v>56</v>
      </c>
      <c r="U21" t="s">
        <v>243</v>
      </c>
      <c r="V21" t="s">
        <v>434</v>
      </c>
      <c r="W21" t="s">
        <v>334</v>
      </c>
    </row>
    <row r="22" spans="13:23" x14ac:dyDescent="0.35">
      <c r="M22">
        <v>14</v>
      </c>
      <c r="N22" t="s">
        <v>17</v>
      </c>
      <c r="O22" t="s">
        <v>43</v>
      </c>
      <c r="S22">
        <v>14</v>
      </c>
      <c r="T22" t="s">
        <v>57</v>
      </c>
      <c r="U22" t="s">
        <v>244</v>
      </c>
      <c r="V22" t="s">
        <v>434</v>
      </c>
      <c r="W22" t="s">
        <v>337</v>
      </c>
    </row>
    <row r="23" spans="13:23" x14ac:dyDescent="0.35">
      <c r="M23">
        <v>15</v>
      </c>
      <c r="N23" t="s">
        <v>18</v>
      </c>
      <c r="O23" t="s">
        <v>18</v>
      </c>
      <c r="S23">
        <v>15</v>
      </c>
      <c r="T23" t="s">
        <v>58</v>
      </c>
      <c r="U23" t="s">
        <v>245</v>
      </c>
      <c r="V23" t="s">
        <v>434</v>
      </c>
      <c r="W23" t="s">
        <v>356</v>
      </c>
    </row>
    <row r="24" spans="13:23" x14ac:dyDescent="0.35">
      <c r="M24">
        <v>16</v>
      </c>
      <c r="N24" t="s">
        <v>19</v>
      </c>
      <c r="O24" t="s">
        <v>43</v>
      </c>
      <c r="S24">
        <v>16</v>
      </c>
      <c r="T24" t="s">
        <v>59</v>
      </c>
      <c r="U24" t="s">
        <v>246</v>
      </c>
      <c r="V24" t="s">
        <v>434</v>
      </c>
      <c r="W24" t="s">
        <v>364</v>
      </c>
    </row>
    <row r="25" spans="13:23" x14ac:dyDescent="0.35">
      <c r="M25">
        <v>17</v>
      </c>
      <c r="N25" t="s">
        <v>20</v>
      </c>
      <c r="O25" t="s">
        <v>39</v>
      </c>
      <c r="S25">
        <v>17</v>
      </c>
      <c r="T25" t="s">
        <v>60</v>
      </c>
      <c r="U25" t="s">
        <v>247</v>
      </c>
      <c r="V25" t="s">
        <v>434</v>
      </c>
      <c r="W25" t="s">
        <v>393</v>
      </c>
    </row>
    <row r="26" spans="13:23" x14ac:dyDescent="0.35">
      <c r="M26">
        <v>18</v>
      </c>
      <c r="N26" t="s">
        <v>21</v>
      </c>
      <c r="O26" t="s">
        <v>39</v>
      </c>
      <c r="S26">
        <v>18</v>
      </c>
      <c r="T26" t="s">
        <v>61</v>
      </c>
      <c r="U26" t="s">
        <v>248</v>
      </c>
      <c r="V26" t="s">
        <v>434</v>
      </c>
      <c r="W26" t="s">
        <v>399</v>
      </c>
    </row>
    <row r="27" spans="13:23" x14ac:dyDescent="0.35">
      <c r="M27">
        <v>19</v>
      </c>
      <c r="N27" t="s">
        <v>22</v>
      </c>
      <c r="O27" t="s">
        <v>39</v>
      </c>
      <c r="S27">
        <v>19</v>
      </c>
      <c r="T27" t="s">
        <v>62</v>
      </c>
      <c r="U27" t="s">
        <v>249</v>
      </c>
      <c r="V27" t="s">
        <v>434</v>
      </c>
      <c r="W27" t="s">
        <v>403</v>
      </c>
    </row>
    <row r="28" spans="13:23" x14ac:dyDescent="0.35">
      <c r="M28">
        <v>20</v>
      </c>
      <c r="N28" t="s">
        <v>23</v>
      </c>
      <c r="O28" t="s">
        <v>39</v>
      </c>
      <c r="S28">
        <v>20</v>
      </c>
      <c r="T28" t="s">
        <v>63</v>
      </c>
      <c r="U28" t="s">
        <v>250</v>
      </c>
      <c r="V28" t="s">
        <v>434</v>
      </c>
      <c r="W28" t="s">
        <v>432</v>
      </c>
    </row>
    <row r="29" spans="13:23" x14ac:dyDescent="0.35">
      <c r="M29">
        <v>21</v>
      </c>
      <c r="N29" t="s">
        <v>24</v>
      </c>
      <c r="O29" t="s">
        <v>39</v>
      </c>
      <c r="S29">
        <v>21</v>
      </c>
      <c r="T29" t="s">
        <v>64</v>
      </c>
      <c r="U29" t="s">
        <v>251</v>
      </c>
      <c r="V29" t="s">
        <v>434</v>
      </c>
    </row>
    <row r="30" spans="13:23" x14ac:dyDescent="0.35">
      <c r="M30">
        <v>22</v>
      </c>
      <c r="N30" t="s">
        <v>25</v>
      </c>
      <c r="O30" t="s">
        <v>40</v>
      </c>
      <c r="S30">
        <v>22</v>
      </c>
      <c r="T30" t="s">
        <v>65</v>
      </c>
      <c r="U30" t="s">
        <v>252</v>
      </c>
      <c r="V30" t="s">
        <v>434</v>
      </c>
    </row>
    <row r="31" spans="13:23" x14ac:dyDescent="0.35">
      <c r="M31">
        <v>23</v>
      </c>
      <c r="N31" t="s">
        <v>26</v>
      </c>
      <c r="O31" t="s">
        <v>40</v>
      </c>
      <c r="S31">
        <v>23</v>
      </c>
      <c r="T31" t="s">
        <v>66</v>
      </c>
      <c r="U31" t="s">
        <v>253</v>
      </c>
      <c r="V31" t="s">
        <v>434</v>
      </c>
    </row>
    <row r="32" spans="13:23" x14ac:dyDescent="0.35">
      <c r="M32">
        <v>24</v>
      </c>
      <c r="N32" t="s">
        <v>27</v>
      </c>
      <c r="O32" t="s">
        <v>40</v>
      </c>
      <c r="S32">
        <v>24</v>
      </c>
      <c r="T32" t="s">
        <v>67</v>
      </c>
      <c r="U32" t="s">
        <v>254</v>
      </c>
      <c r="V32" t="s">
        <v>434</v>
      </c>
    </row>
    <row r="33" spans="13:22" x14ac:dyDescent="0.35">
      <c r="M33">
        <v>25</v>
      </c>
      <c r="N33" t="s">
        <v>28</v>
      </c>
      <c r="O33" t="s">
        <v>40</v>
      </c>
      <c r="S33">
        <v>25</v>
      </c>
      <c r="T33" t="s">
        <v>68</v>
      </c>
      <c r="U33" t="s">
        <v>255</v>
      </c>
      <c r="V33" t="s">
        <v>434</v>
      </c>
    </row>
    <row r="34" spans="13:22" x14ac:dyDescent="0.35">
      <c r="M34">
        <v>26</v>
      </c>
      <c r="N34" t="s">
        <v>29</v>
      </c>
      <c r="O34" t="s">
        <v>40</v>
      </c>
      <c r="S34">
        <v>26</v>
      </c>
      <c r="T34" t="s">
        <v>69</v>
      </c>
      <c r="U34" t="s">
        <v>256</v>
      </c>
      <c r="V34" t="s">
        <v>434</v>
      </c>
    </row>
    <row r="35" spans="13:22" x14ac:dyDescent="0.35">
      <c r="M35">
        <v>27</v>
      </c>
      <c r="N35" t="s">
        <v>30</v>
      </c>
      <c r="O35" t="s">
        <v>40</v>
      </c>
      <c r="S35">
        <v>27</v>
      </c>
      <c r="T35" t="s">
        <v>70</v>
      </c>
      <c r="U35" t="s">
        <v>257</v>
      </c>
      <c r="V35" t="s">
        <v>434</v>
      </c>
    </row>
    <row r="36" spans="13:22" x14ac:dyDescent="0.35">
      <c r="M36">
        <v>28</v>
      </c>
      <c r="N36" t="s">
        <v>31</v>
      </c>
      <c r="O36" t="s">
        <v>41</v>
      </c>
      <c r="S36">
        <v>28</v>
      </c>
      <c r="T36" t="s">
        <v>71</v>
      </c>
      <c r="U36" t="s">
        <v>258</v>
      </c>
      <c r="V36" t="s">
        <v>434</v>
      </c>
    </row>
    <row r="37" spans="13:22" x14ac:dyDescent="0.35">
      <c r="M37">
        <v>29</v>
      </c>
      <c r="N37" t="s">
        <v>32</v>
      </c>
      <c r="O37" t="s">
        <v>41</v>
      </c>
      <c r="S37">
        <v>29</v>
      </c>
      <c r="T37" t="s">
        <v>72</v>
      </c>
      <c r="U37" t="s">
        <v>259</v>
      </c>
      <c r="V37" t="s">
        <v>434</v>
      </c>
    </row>
    <row r="38" spans="13:22" x14ac:dyDescent="0.35">
      <c r="M38">
        <v>30</v>
      </c>
      <c r="N38" t="s">
        <v>33</v>
      </c>
      <c r="O38" t="s">
        <v>41</v>
      </c>
      <c r="S38">
        <v>30</v>
      </c>
      <c r="T38" t="s">
        <v>73</v>
      </c>
      <c r="U38" t="s">
        <v>260</v>
      </c>
      <c r="V38" t="s">
        <v>261</v>
      </c>
    </row>
    <row r="39" spans="13:22" x14ac:dyDescent="0.35">
      <c r="M39">
        <v>31</v>
      </c>
      <c r="N39" t="s">
        <v>34</v>
      </c>
      <c r="O39" t="s">
        <v>42</v>
      </c>
      <c r="S39">
        <v>31</v>
      </c>
      <c r="T39" t="s">
        <v>74</v>
      </c>
      <c r="U39" t="s">
        <v>262</v>
      </c>
      <c r="V39" t="s">
        <v>263</v>
      </c>
    </row>
    <row r="40" spans="13:22" x14ac:dyDescent="0.35">
      <c r="M40">
        <v>32</v>
      </c>
      <c r="N40" t="s">
        <v>35</v>
      </c>
      <c r="O40" t="s">
        <v>42</v>
      </c>
      <c r="S40">
        <v>32</v>
      </c>
      <c r="T40" t="s">
        <v>75</v>
      </c>
      <c r="U40" t="s">
        <v>264</v>
      </c>
      <c r="V40" t="s">
        <v>263</v>
      </c>
    </row>
    <row r="41" spans="13:22" x14ac:dyDescent="0.35">
      <c r="M41">
        <v>33</v>
      </c>
      <c r="N41" t="s">
        <v>36</v>
      </c>
      <c r="O41" t="s">
        <v>42</v>
      </c>
      <c r="S41">
        <v>33</v>
      </c>
      <c r="T41" t="s">
        <v>76</v>
      </c>
      <c r="U41" t="s">
        <v>265</v>
      </c>
      <c r="V41" t="s">
        <v>266</v>
      </c>
    </row>
    <row r="42" spans="13:22" x14ac:dyDescent="0.35">
      <c r="M42">
        <v>34</v>
      </c>
      <c r="N42" t="s">
        <v>37</v>
      </c>
      <c r="O42" t="s">
        <v>42</v>
      </c>
      <c r="S42">
        <v>34</v>
      </c>
      <c r="T42" t="s">
        <v>77</v>
      </c>
      <c r="U42" t="s">
        <v>267</v>
      </c>
      <c r="V42" t="s">
        <v>266</v>
      </c>
    </row>
    <row r="43" spans="13:22" x14ac:dyDescent="0.35">
      <c r="S43">
        <v>35</v>
      </c>
      <c r="T43" t="s">
        <v>78</v>
      </c>
      <c r="U43" t="s">
        <v>268</v>
      </c>
      <c r="V43" t="s">
        <v>266</v>
      </c>
    </row>
    <row r="44" spans="13:22" x14ac:dyDescent="0.35">
      <c r="S44">
        <v>36</v>
      </c>
      <c r="T44" t="s">
        <v>79</v>
      </c>
      <c r="U44" t="s">
        <v>269</v>
      </c>
      <c r="V44" t="s">
        <v>266</v>
      </c>
    </row>
    <row r="45" spans="13:22" x14ac:dyDescent="0.35">
      <c r="S45">
        <v>37</v>
      </c>
      <c r="T45" t="s">
        <v>80</v>
      </c>
      <c r="U45" t="s">
        <v>270</v>
      </c>
      <c r="V45" t="s">
        <v>271</v>
      </c>
    </row>
    <row r="46" spans="13:22" x14ac:dyDescent="0.35">
      <c r="S46">
        <v>38</v>
      </c>
      <c r="T46" t="s">
        <v>81</v>
      </c>
      <c r="U46" t="s">
        <v>272</v>
      </c>
      <c r="V46" t="s">
        <v>273</v>
      </c>
    </row>
    <row r="47" spans="13:22" x14ac:dyDescent="0.35">
      <c r="S47">
        <v>39</v>
      </c>
      <c r="T47" t="s">
        <v>82</v>
      </c>
      <c r="U47" t="s">
        <v>274</v>
      </c>
      <c r="V47" t="s">
        <v>273</v>
      </c>
    </row>
    <row r="48" spans="13:22" x14ac:dyDescent="0.35">
      <c r="S48">
        <v>40</v>
      </c>
      <c r="T48" t="s">
        <v>83</v>
      </c>
      <c r="U48" t="s">
        <v>275</v>
      </c>
      <c r="V48" t="s">
        <v>271</v>
      </c>
    </row>
    <row r="49" spans="19:22" x14ac:dyDescent="0.35">
      <c r="S49">
        <v>41</v>
      </c>
      <c r="T49" t="s">
        <v>84</v>
      </c>
      <c r="U49" t="s">
        <v>276</v>
      </c>
      <c r="V49" t="s">
        <v>271</v>
      </c>
    </row>
    <row r="50" spans="19:22" x14ac:dyDescent="0.35">
      <c r="S50">
        <v>42</v>
      </c>
      <c r="T50" t="s">
        <v>85</v>
      </c>
      <c r="U50" t="s">
        <v>277</v>
      </c>
      <c r="V50" t="s">
        <v>271</v>
      </c>
    </row>
    <row r="51" spans="19:22" x14ac:dyDescent="0.35">
      <c r="S51">
        <v>43</v>
      </c>
      <c r="T51" t="s">
        <v>86</v>
      </c>
      <c r="U51" t="s">
        <v>278</v>
      </c>
      <c r="V51" t="s">
        <v>271</v>
      </c>
    </row>
    <row r="52" spans="19:22" x14ac:dyDescent="0.35">
      <c r="S52">
        <v>44</v>
      </c>
      <c r="T52" t="s">
        <v>87</v>
      </c>
      <c r="U52" t="s">
        <v>279</v>
      </c>
      <c r="V52" t="s">
        <v>271</v>
      </c>
    </row>
    <row r="53" spans="19:22" x14ac:dyDescent="0.35">
      <c r="S53">
        <v>45</v>
      </c>
      <c r="T53" t="s">
        <v>88</v>
      </c>
      <c r="U53" t="s">
        <v>280</v>
      </c>
      <c r="V53" t="s">
        <v>271</v>
      </c>
    </row>
    <row r="54" spans="19:22" x14ac:dyDescent="0.35">
      <c r="S54">
        <v>46</v>
      </c>
      <c r="T54" t="s">
        <v>89</v>
      </c>
      <c r="U54" t="s">
        <v>281</v>
      </c>
      <c r="V54" t="s">
        <v>271</v>
      </c>
    </row>
    <row r="55" spans="19:22" x14ac:dyDescent="0.35">
      <c r="S55">
        <v>47</v>
      </c>
      <c r="T55" t="s">
        <v>90</v>
      </c>
      <c r="U55" t="s">
        <v>282</v>
      </c>
      <c r="V55" t="s">
        <v>271</v>
      </c>
    </row>
    <row r="56" spans="19:22" x14ac:dyDescent="0.35">
      <c r="S56">
        <v>48</v>
      </c>
      <c r="T56" t="s">
        <v>91</v>
      </c>
      <c r="U56" t="s">
        <v>283</v>
      </c>
      <c r="V56" t="s">
        <v>271</v>
      </c>
    </row>
    <row r="57" spans="19:22" x14ac:dyDescent="0.35">
      <c r="S57">
        <v>49</v>
      </c>
      <c r="T57" t="s">
        <v>92</v>
      </c>
      <c r="U57" t="s">
        <v>284</v>
      </c>
      <c r="V57" t="s">
        <v>271</v>
      </c>
    </row>
    <row r="58" spans="19:22" x14ac:dyDescent="0.35">
      <c r="S58">
        <v>50</v>
      </c>
      <c r="T58" t="s">
        <v>93</v>
      </c>
      <c r="U58" t="s">
        <v>285</v>
      </c>
      <c r="V58" t="s">
        <v>271</v>
      </c>
    </row>
    <row r="59" spans="19:22" x14ac:dyDescent="0.35">
      <c r="S59">
        <v>51</v>
      </c>
      <c r="T59" t="s">
        <v>94</v>
      </c>
      <c r="U59" t="s">
        <v>286</v>
      </c>
      <c r="V59" t="s">
        <v>287</v>
      </c>
    </row>
    <row r="60" spans="19:22" x14ac:dyDescent="0.35">
      <c r="S60">
        <v>52</v>
      </c>
      <c r="T60" t="s">
        <v>95</v>
      </c>
      <c r="U60" t="s">
        <v>288</v>
      </c>
      <c r="V60" t="s">
        <v>271</v>
      </c>
    </row>
    <row r="61" spans="19:22" x14ac:dyDescent="0.35">
      <c r="S61">
        <v>53</v>
      </c>
      <c r="T61" t="s">
        <v>96</v>
      </c>
      <c r="U61" t="s">
        <v>289</v>
      </c>
      <c r="V61" t="s">
        <v>290</v>
      </c>
    </row>
    <row r="62" spans="19:22" x14ac:dyDescent="0.35">
      <c r="S62">
        <v>54</v>
      </c>
      <c r="T62" t="s">
        <v>97</v>
      </c>
      <c r="U62" t="s">
        <v>291</v>
      </c>
      <c r="V62" t="s">
        <v>290</v>
      </c>
    </row>
    <row r="63" spans="19:22" x14ac:dyDescent="0.35">
      <c r="S63">
        <v>55</v>
      </c>
      <c r="T63" t="s">
        <v>98</v>
      </c>
      <c r="U63" t="s">
        <v>292</v>
      </c>
      <c r="V63" t="s">
        <v>290</v>
      </c>
    </row>
    <row r="64" spans="19:22" x14ac:dyDescent="0.35">
      <c r="S64">
        <v>56</v>
      </c>
      <c r="T64" t="s">
        <v>99</v>
      </c>
      <c r="U64" t="s">
        <v>293</v>
      </c>
      <c r="V64" t="s">
        <v>290</v>
      </c>
    </row>
    <row r="65" spans="19:22" x14ac:dyDescent="0.35">
      <c r="S65">
        <v>57</v>
      </c>
      <c r="T65" t="s">
        <v>100</v>
      </c>
      <c r="U65" t="s">
        <v>294</v>
      </c>
      <c r="V65" t="s">
        <v>290</v>
      </c>
    </row>
    <row r="66" spans="19:22" x14ac:dyDescent="0.35">
      <c r="S66">
        <v>58</v>
      </c>
      <c r="T66" t="s">
        <v>101</v>
      </c>
      <c r="U66" t="s">
        <v>295</v>
      </c>
      <c r="V66" t="s">
        <v>290</v>
      </c>
    </row>
    <row r="67" spans="19:22" x14ac:dyDescent="0.35">
      <c r="S67">
        <v>59</v>
      </c>
      <c r="T67" t="s">
        <v>102</v>
      </c>
      <c r="U67" t="s">
        <v>296</v>
      </c>
      <c r="V67" t="s">
        <v>290</v>
      </c>
    </row>
    <row r="68" spans="19:22" x14ac:dyDescent="0.35">
      <c r="S68">
        <v>60</v>
      </c>
      <c r="T68" t="s">
        <v>103</v>
      </c>
      <c r="U68" t="s">
        <v>297</v>
      </c>
      <c r="V68" t="s">
        <v>290</v>
      </c>
    </row>
    <row r="69" spans="19:22" x14ac:dyDescent="0.35">
      <c r="S69">
        <v>61</v>
      </c>
      <c r="T69" t="s">
        <v>104</v>
      </c>
      <c r="U69" t="s">
        <v>298</v>
      </c>
      <c r="V69" t="s">
        <v>290</v>
      </c>
    </row>
    <row r="70" spans="19:22" x14ac:dyDescent="0.35">
      <c r="S70">
        <v>62</v>
      </c>
      <c r="T70" t="s">
        <v>105</v>
      </c>
      <c r="U70" t="s">
        <v>299</v>
      </c>
      <c r="V70" t="s">
        <v>290</v>
      </c>
    </row>
    <row r="71" spans="19:22" x14ac:dyDescent="0.35">
      <c r="S71">
        <v>63</v>
      </c>
      <c r="T71" t="s">
        <v>106</v>
      </c>
      <c r="U71" t="s">
        <v>300</v>
      </c>
      <c r="V71" t="s">
        <v>290</v>
      </c>
    </row>
    <row r="72" spans="19:22" x14ac:dyDescent="0.35">
      <c r="S72">
        <v>64</v>
      </c>
      <c r="T72" t="s">
        <v>107</v>
      </c>
      <c r="U72" t="s">
        <v>301</v>
      </c>
      <c r="V72" t="s">
        <v>290</v>
      </c>
    </row>
    <row r="73" spans="19:22" x14ac:dyDescent="0.35">
      <c r="S73">
        <v>65</v>
      </c>
      <c r="T73" t="s">
        <v>108</v>
      </c>
      <c r="U73" t="s">
        <v>302</v>
      </c>
      <c r="V73" t="s">
        <v>290</v>
      </c>
    </row>
    <row r="74" spans="19:22" x14ac:dyDescent="0.35">
      <c r="S74">
        <v>66</v>
      </c>
      <c r="T74" t="s">
        <v>109</v>
      </c>
      <c r="U74" t="s">
        <v>303</v>
      </c>
      <c r="V74" t="s">
        <v>290</v>
      </c>
    </row>
    <row r="75" spans="19:22" x14ac:dyDescent="0.35">
      <c r="S75">
        <v>67</v>
      </c>
      <c r="T75" t="s">
        <v>110</v>
      </c>
      <c r="U75" t="s">
        <v>304</v>
      </c>
      <c r="V75" t="s">
        <v>290</v>
      </c>
    </row>
    <row r="76" spans="19:22" x14ac:dyDescent="0.35">
      <c r="S76">
        <v>68</v>
      </c>
      <c r="T76" t="s">
        <v>111</v>
      </c>
      <c r="U76" t="s">
        <v>305</v>
      </c>
      <c r="V76" t="s">
        <v>290</v>
      </c>
    </row>
    <row r="77" spans="19:22" x14ac:dyDescent="0.35">
      <c r="S77">
        <v>69</v>
      </c>
      <c r="T77" t="s">
        <v>112</v>
      </c>
      <c r="U77" t="s">
        <v>306</v>
      </c>
      <c r="V77" t="s">
        <v>290</v>
      </c>
    </row>
    <row r="78" spans="19:22" x14ac:dyDescent="0.35">
      <c r="S78">
        <v>70</v>
      </c>
      <c r="T78" t="s">
        <v>113</v>
      </c>
      <c r="U78" t="s">
        <v>307</v>
      </c>
      <c r="V78" t="s">
        <v>290</v>
      </c>
    </row>
    <row r="79" spans="19:22" x14ac:dyDescent="0.35">
      <c r="S79">
        <v>71</v>
      </c>
      <c r="T79" t="s">
        <v>114</v>
      </c>
      <c r="U79" t="s">
        <v>308</v>
      </c>
      <c r="V79" t="s">
        <v>290</v>
      </c>
    </row>
    <row r="80" spans="19:22" x14ac:dyDescent="0.35">
      <c r="S80">
        <v>72</v>
      </c>
      <c r="T80" t="s">
        <v>115</v>
      </c>
      <c r="U80" t="s">
        <v>309</v>
      </c>
      <c r="V80" t="s">
        <v>290</v>
      </c>
    </row>
    <row r="81" spans="19:22" x14ac:dyDescent="0.35">
      <c r="S81">
        <v>73</v>
      </c>
      <c r="T81" t="s">
        <v>116</v>
      </c>
      <c r="U81" t="s">
        <v>310</v>
      </c>
      <c r="V81" t="s">
        <v>290</v>
      </c>
    </row>
    <row r="82" spans="19:22" x14ac:dyDescent="0.35">
      <c r="S82">
        <v>74</v>
      </c>
      <c r="T82" t="s">
        <v>117</v>
      </c>
      <c r="U82" t="s">
        <v>311</v>
      </c>
      <c r="V82" t="s">
        <v>290</v>
      </c>
    </row>
    <row r="83" spans="19:22" x14ac:dyDescent="0.35">
      <c r="S83">
        <v>75</v>
      </c>
      <c r="T83" t="s">
        <v>118</v>
      </c>
      <c r="U83" t="s">
        <v>312</v>
      </c>
      <c r="V83" t="s">
        <v>290</v>
      </c>
    </row>
    <row r="84" spans="19:22" x14ac:dyDescent="0.35">
      <c r="S84">
        <v>76</v>
      </c>
      <c r="T84" t="s">
        <v>119</v>
      </c>
      <c r="U84" t="s">
        <v>313</v>
      </c>
      <c r="V84" t="s">
        <v>290</v>
      </c>
    </row>
    <row r="85" spans="19:22" x14ac:dyDescent="0.35">
      <c r="S85">
        <v>77</v>
      </c>
      <c r="T85" t="s">
        <v>120</v>
      </c>
      <c r="U85" t="s">
        <v>314</v>
      </c>
      <c r="V85" t="s">
        <v>315</v>
      </c>
    </row>
    <row r="86" spans="19:22" x14ac:dyDescent="0.35">
      <c r="S86">
        <v>78</v>
      </c>
      <c r="T86" t="s">
        <v>121</v>
      </c>
      <c r="U86" t="s">
        <v>316</v>
      </c>
      <c r="V86" t="s">
        <v>315</v>
      </c>
    </row>
    <row r="87" spans="19:22" x14ac:dyDescent="0.35">
      <c r="S87">
        <v>79</v>
      </c>
      <c r="T87" t="s">
        <v>122</v>
      </c>
      <c r="U87" t="s">
        <v>317</v>
      </c>
      <c r="V87" t="s">
        <v>315</v>
      </c>
    </row>
    <row r="88" spans="19:22" x14ac:dyDescent="0.35">
      <c r="S88">
        <v>80</v>
      </c>
      <c r="T88" t="s">
        <v>123</v>
      </c>
      <c r="U88" t="s">
        <v>318</v>
      </c>
      <c r="V88" t="s">
        <v>315</v>
      </c>
    </row>
    <row r="89" spans="19:22" x14ac:dyDescent="0.35">
      <c r="S89">
        <v>81</v>
      </c>
      <c r="T89" t="s">
        <v>124</v>
      </c>
      <c r="U89" t="s">
        <v>319</v>
      </c>
      <c r="V89" t="s">
        <v>315</v>
      </c>
    </row>
    <row r="90" spans="19:22" x14ac:dyDescent="0.35">
      <c r="S90">
        <v>82</v>
      </c>
      <c r="T90" t="s">
        <v>125</v>
      </c>
      <c r="U90" t="s">
        <v>320</v>
      </c>
      <c r="V90" t="s">
        <v>315</v>
      </c>
    </row>
    <row r="91" spans="19:22" x14ac:dyDescent="0.35">
      <c r="S91">
        <v>83</v>
      </c>
      <c r="T91" t="s">
        <v>126</v>
      </c>
      <c r="U91" t="s">
        <v>321</v>
      </c>
      <c r="V91" t="s">
        <v>315</v>
      </c>
    </row>
    <row r="92" spans="19:22" x14ac:dyDescent="0.35">
      <c r="S92">
        <v>84</v>
      </c>
      <c r="T92" t="s">
        <v>127</v>
      </c>
      <c r="U92" t="s">
        <v>322</v>
      </c>
      <c r="V92" t="s">
        <v>315</v>
      </c>
    </row>
    <row r="93" spans="19:22" x14ac:dyDescent="0.35">
      <c r="S93">
        <v>85</v>
      </c>
      <c r="T93" t="s">
        <v>128</v>
      </c>
      <c r="U93" t="s">
        <v>323</v>
      </c>
      <c r="V93" t="s">
        <v>315</v>
      </c>
    </row>
    <row r="94" spans="19:22" x14ac:dyDescent="0.35">
      <c r="S94">
        <v>86</v>
      </c>
      <c r="T94" t="s">
        <v>129</v>
      </c>
      <c r="U94" t="s">
        <v>324</v>
      </c>
      <c r="V94" t="s">
        <v>325</v>
      </c>
    </row>
    <row r="95" spans="19:22" x14ac:dyDescent="0.35">
      <c r="S95">
        <v>87</v>
      </c>
      <c r="T95" t="s">
        <v>130</v>
      </c>
      <c r="U95" t="s">
        <v>326</v>
      </c>
      <c r="V95" t="s">
        <v>325</v>
      </c>
    </row>
    <row r="96" spans="19:22" x14ac:dyDescent="0.35">
      <c r="S96">
        <v>88</v>
      </c>
      <c r="T96" t="s">
        <v>131</v>
      </c>
      <c r="U96" t="s">
        <v>327</v>
      </c>
      <c r="V96" t="s">
        <v>325</v>
      </c>
    </row>
    <row r="97" spans="19:22" x14ac:dyDescent="0.35">
      <c r="S97">
        <v>89</v>
      </c>
      <c r="T97" t="s">
        <v>132</v>
      </c>
      <c r="U97" t="s">
        <v>328</v>
      </c>
      <c r="V97" t="s">
        <v>325</v>
      </c>
    </row>
    <row r="98" spans="19:22" x14ac:dyDescent="0.35">
      <c r="S98">
        <v>90</v>
      </c>
      <c r="T98" t="s">
        <v>133</v>
      </c>
      <c r="U98" t="s">
        <v>329</v>
      </c>
      <c r="V98" t="s">
        <v>325</v>
      </c>
    </row>
    <row r="99" spans="19:22" x14ac:dyDescent="0.35">
      <c r="S99">
        <v>91</v>
      </c>
      <c r="T99" t="s">
        <v>134</v>
      </c>
      <c r="U99" t="s">
        <v>330</v>
      </c>
      <c r="V99" t="s">
        <v>325</v>
      </c>
    </row>
    <row r="100" spans="19:22" x14ac:dyDescent="0.35">
      <c r="S100">
        <v>92</v>
      </c>
      <c r="T100" t="s">
        <v>135</v>
      </c>
      <c r="U100" t="s">
        <v>331</v>
      </c>
      <c r="V100" t="s">
        <v>325</v>
      </c>
    </row>
    <row r="101" spans="19:22" x14ac:dyDescent="0.35">
      <c r="S101">
        <v>93</v>
      </c>
      <c r="T101" t="s">
        <v>136</v>
      </c>
      <c r="U101" t="s">
        <v>332</v>
      </c>
      <c r="V101" t="s">
        <v>325</v>
      </c>
    </row>
    <row r="102" spans="19:22" x14ac:dyDescent="0.35">
      <c r="S102">
        <v>94</v>
      </c>
      <c r="T102" t="s">
        <v>137</v>
      </c>
      <c r="U102" t="s">
        <v>333</v>
      </c>
      <c r="V102" t="s">
        <v>334</v>
      </c>
    </row>
    <row r="103" spans="19:22" x14ac:dyDescent="0.35">
      <c r="S103">
        <v>95</v>
      </c>
      <c r="T103" t="s">
        <v>138</v>
      </c>
      <c r="U103" t="s">
        <v>335</v>
      </c>
      <c r="V103" t="s">
        <v>287</v>
      </c>
    </row>
    <row r="104" spans="19:22" x14ac:dyDescent="0.35">
      <c r="S104">
        <v>96</v>
      </c>
      <c r="T104" t="s">
        <v>139</v>
      </c>
      <c r="U104" t="s">
        <v>336</v>
      </c>
      <c r="V104" t="s">
        <v>337</v>
      </c>
    </row>
    <row r="105" spans="19:22" x14ac:dyDescent="0.35">
      <c r="S105">
        <v>97</v>
      </c>
      <c r="T105" t="s">
        <v>140</v>
      </c>
      <c r="U105" t="s">
        <v>338</v>
      </c>
      <c r="V105" t="s">
        <v>337</v>
      </c>
    </row>
    <row r="106" spans="19:22" x14ac:dyDescent="0.35">
      <c r="S106">
        <v>98</v>
      </c>
      <c r="T106" t="s">
        <v>141</v>
      </c>
      <c r="U106" t="s">
        <v>339</v>
      </c>
      <c r="V106" t="s">
        <v>337</v>
      </c>
    </row>
    <row r="107" spans="19:22" x14ac:dyDescent="0.35">
      <c r="S107">
        <v>99</v>
      </c>
      <c r="T107" t="s">
        <v>142</v>
      </c>
      <c r="U107" t="s">
        <v>340</v>
      </c>
      <c r="V107" t="s">
        <v>337</v>
      </c>
    </row>
    <row r="108" spans="19:22" x14ac:dyDescent="0.35">
      <c r="S108">
        <v>100</v>
      </c>
      <c r="T108" t="s">
        <v>143</v>
      </c>
      <c r="U108" t="s">
        <v>341</v>
      </c>
      <c r="V108" t="s">
        <v>337</v>
      </c>
    </row>
    <row r="109" spans="19:22" x14ac:dyDescent="0.35">
      <c r="S109">
        <v>101</v>
      </c>
      <c r="T109" t="s">
        <v>144</v>
      </c>
      <c r="U109" t="s">
        <v>342</v>
      </c>
      <c r="V109" t="s">
        <v>337</v>
      </c>
    </row>
    <row r="110" spans="19:22" x14ac:dyDescent="0.35">
      <c r="S110">
        <v>102</v>
      </c>
      <c r="T110" t="s">
        <v>145</v>
      </c>
      <c r="U110" t="s">
        <v>343</v>
      </c>
      <c r="V110" t="s">
        <v>337</v>
      </c>
    </row>
    <row r="111" spans="19:22" x14ac:dyDescent="0.35">
      <c r="S111">
        <v>103</v>
      </c>
      <c r="T111" t="s">
        <v>146</v>
      </c>
      <c r="U111" t="s">
        <v>344</v>
      </c>
      <c r="V111" t="s">
        <v>337</v>
      </c>
    </row>
    <row r="112" spans="19:22" x14ac:dyDescent="0.35">
      <c r="S112">
        <v>104</v>
      </c>
      <c r="T112" t="s">
        <v>147</v>
      </c>
      <c r="U112" t="s">
        <v>345</v>
      </c>
      <c r="V112" t="s">
        <v>337</v>
      </c>
    </row>
    <row r="113" spans="19:22" x14ac:dyDescent="0.35">
      <c r="S113">
        <v>105</v>
      </c>
      <c r="T113" t="s">
        <v>148</v>
      </c>
      <c r="U113" t="s">
        <v>346</v>
      </c>
      <c r="V113" t="s">
        <v>337</v>
      </c>
    </row>
    <row r="114" spans="19:22" x14ac:dyDescent="0.35">
      <c r="S114">
        <v>106</v>
      </c>
      <c r="T114" t="s">
        <v>149</v>
      </c>
      <c r="U114" t="s">
        <v>347</v>
      </c>
      <c r="V114" t="s">
        <v>337</v>
      </c>
    </row>
    <row r="115" spans="19:22" x14ac:dyDescent="0.35">
      <c r="S115">
        <v>107</v>
      </c>
      <c r="T115" t="s">
        <v>150</v>
      </c>
      <c r="U115" t="s">
        <v>348</v>
      </c>
      <c r="V115" t="s">
        <v>337</v>
      </c>
    </row>
    <row r="116" spans="19:22" x14ac:dyDescent="0.35">
      <c r="S116">
        <v>108</v>
      </c>
      <c r="T116" t="s">
        <v>151</v>
      </c>
      <c r="U116" t="s">
        <v>349</v>
      </c>
      <c r="V116" t="s">
        <v>337</v>
      </c>
    </row>
    <row r="117" spans="19:22" x14ac:dyDescent="0.35">
      <c r="S117">
        <v>109</v>
      </c>
      <c r="T117" t="s">
        <v>152</v>
      </c>
      <c r="U117" t="s">
        <v>350</v>
      </c>
      <c r="V117" t="s">
        <v>337</v>
      </c>
    </row>
    <row r="118" spans="19:22" x14ac:dyDescent="0.35">
      <c r="S118">
        <v>110</v>
      </c>
      <c r="T118" t="s">
        <v>153</v>
      </c>
      <c r="U118" t="s">
        <v>351</v>
      </c>
      <c r="V118" t="s">
        <v>337</v>
      </c>
    </row>
    <row r="119" spans="19:22" x14ac:dyDescent="0.35">
      <c r="S119">
        <v>111</v>
      </c>
      <c r="T119" t="s">
        <v>154</v>
      </c>
      <c r="U119" t="s">
        <v>352</v>
      </c>
      <c r="V119" t="s">
        <v>334</v>
      </c>
    </row>
    <row r="120" spans="19:22" x14ac:dyDescent="0.35">
      <c r="S120">
        <v>112</v>
      </c>
      <c r="T120" t="s">
        <v>155</v>
      </c>
      <c r="U120" t="s">
        <v>353</v>
      </c>
      <c r="V120" t="s">
        <v>334</v>
      </c>
    </row>
    <row r="121" spans="19:22" x14ac:dyDescent="0.35">
      <c r="S121">
        <v>113</v>
      </c>
      <c r="T121" t="s">
        <v>156</v>
      </c>
      <c r="U121" t="s">
        <v>354</v>
      </c>
      <c r="V121" t="s">
        <v>334</v>
      </c>
    </row>
    <row r="122" spans="19:22" x14ac:dyDescent="0.35">
      <c r="S122">
        <v>114</v>
      </c>
      <c r="T122" t="s">
        <v>157</v>
      </c>
      <c r="U122" t="s">
        <v>355</v>
      </c>
      <c r="V122" t="s">
        <v>356</v>
      </c>
    </row>
    <row r="123" spans="19:22" x14ac:dyDescent="0.35">
      <c r="S123">
        <v>115</v>
      </c>
      <c r="T123" t="s">
        <v>158</v>
      </c>
      <c r="U123" t="s">
        <v>357</v>
      </c>
      <c r="V123" t="s">
        <v>356</v>
      </c>
    </row>
    <row r="124" spans="19:22" x14ac:dyDescent="0.35">
      <c r="S124">
        <v>116</v>
      </c>
      <c r="T124" t="s">
        <v>159</v>
      </c>
      <c r="U124" t="s">
        <v>358</v>
      </c>
      <c r="V124" t="s">
        <v>356</v>
      </c>
    </row>
    <row r="125" spans="19:22" x14ac:dyDescent="0.35">
      <c r="S125">
        <v>117</v>
      </c>
      <c r="T125" t="s">
        <v>160</v>
      </c>
      <c r="U125" t="s">
        <v>359</v>
      </c>
      <c r="V125" t="s">
        <v>356</v>
      </c>
    </row>
    <row r="126" spans="19:22" x14ac:dyDescent="0.35">
      <c r="S126">
        <v>118</v>
      </c>
      <c r="T126" t="s">
        <v>161</v>
      </c>
      <c r="U126" t="s">
        <v>360</v>
      </c>
      <c r="V126" t="s">
        <v>356</v>
      </c>
    </row>
    <row r="127" spans="19:22" x14ac:dyDescent="0.35">
      <c r="S127">
        <v>119</v>
      </c>
      <c r="T127" t="s">
        <v>162</v>
      </c>
      <c r="U127" t="s">
        <v>361</v>
      </c>
      <c r="V127" t="s">
        <v>356</v>
      </c>
    </row>
    <row r="128" spans="19:22" x14ac:dyDescent="0.35">
      <c r="S128">
        <v>120</v>
      </c>
      <c r="T128" t="s">
        <v>163</v>
      </c>
      <c r="U128" t="s">
        <v>362</v>
      </c>
      <c r="V128" t="s">
        <v>356</v>
      </c>
    </row>
    <row r="129" spans="19:22" x14ac:dyDescent="0.35">
      <c r="S129">
        <v>121</v>
      </c>
      <c r="T129" t="s">
        <v>164</v>
      </c>
      <c r="U129" t="s">
        <v>363</v>
      </c>
      <c r="V129" t="s">
        <v>364</v>
      </c>
    </row>
    <row r="130" spans="19:22" x14ac:dyDescent="0.35">
      <c r="S130">
        <v>122</v>
      </c>
      <c r="T130" t="s">
        <v>165</v>
      </c>
      <c r="U130" t="s">
        <v>365</v>
      </c>
      <c r="V130" t="s">
        <v>364</v>
      </c>
    </row>
    <row r="131" spans="19:22" x14ac:dyDescent="0.35">
      <c r="S131">
        <v>123</v>
      </c>
      <c r="T131" t="s">
        <v>166</v>
      </c>
      <c r="U131" t="s">
        <v>366</v>
      </c>
      <c r="V131" t="s">
        <v>364</v>
      </c>
    </row>
    <row r="132" spans="19:22" x14ac:dyDescent="0.35">
      <c r="S132">
        <v>124</v>
      </c>
      <c r="T132" t="s">
        <v>167</v>
      </c>
      <c r="U132" t="s">
        <v>367</v>
      </c>
      <c r="V132" t="s">
        <v>364</v>
      </c>
    </row>
    <row r="133" spans="19:22" x14ac:dyDescent="0.35">
      <c r="S133">
        <v>125</v>
      </c>
      <c r="T133" t="s">
        <v>168</v>
      </c>
      <c r="U133" t="s">
        <v>368</v>
      </c>
      <c r="V133" t="s">
        <v>364</v>
      </c>
    </row>
    <row r="134" spans="19:22" x14ac:dyDescent="0.35">
      <c r="S134">
        <v>126</v>
      </c>
      <c r="T134" t="s">
        <v>169</v>
      </c>
      <c r="U134" t="s">
        <v>369</v>
      </c>
      <c r="V134" t="s">
        <v>364</v>
      </c>
    </row>
    <row r="135" spans="19:22" x14ac:dyDescent="0.35">
      <c r="S135">
        <v>127</v>
      </c>
      <c r="T135" t="s">
        <v>170</v>
      </c>
      <c r="U135" t="s">
        <v>370</v>
      </c>
      <c r="V135" t="s">
        <v>364</v>
      </c>
    </row>
    <row r="136" spans="19:22" x14ac:dyDescent="0.35">
      <c r="S136">
        <v>128</v>
      </c>
      <c r="T136" t="s">
        <v>171</v>
      </c>
      <c r="U136" t="s">
        <v>371</v>
      </c>
      <c r="V136" t="s">
        <v>364</v>
      </c>
    </row>
    <row r="137" spans="19:22" x14ac:dyDescent="0.35">
      <c r="S137">
        <v>129</v>
      </c>
      <c r="T137" t="s">
        <v>172</v>
      </c>
      <c r="U137" t="s">
        <v>372</v>
      </c>
      <c r="V137" t="s">
        <v>356</v>
      </c>
    </row>
    <row r="138" spans="19:22" x14ac:dyDescent="0.35">
      <c r="S138">
        <v>130</v>
      </c>
      <c r="T138" t="s">
        <v>173</v>
      </c>
      <c r="U138" t="s">
        <v>373</v>
      </c>
      <c r="V138" t="s">
        <v>364</v>
      </c>
    </row>
    <row r="139" spans="19:22" x14ac:dyDescent="0.35">
      <c r="S139">
        <v>131</v>
      </c>
      <c r="T139" t="s">
        <v>174</v>
      </c>
      <c r="U139" t="s">
        <v>374</v>
      </c>
      <c r="V139" t="s">
        <v>364</v>
      </c>
    </row>
    <row r="140" spans="19:22" x14ac:dyDescent="0.35">
      <c r="S140">
        <v>132</v>
      </c>
      <c r="T140" t="s">
        <v>175</v>
      </c>
      <c r="U140" t="s">
        <v>375</v>
      </c>
      <c r="V140" t="s">
        <v>364</v>
      </c>
    </row>
    <row r="141" spans="19:22" x14ac:dyDescent="0.35">
      <c r="S141">
        <v>133</v>
      </c>
      <c r="T141" t="s">
        <v>176</v>
      </c>
      <c r="U141" t="s">
        <v>376</v>
      </c>
      <c r="V141" t="s">
        <v>364</v>
      </c>
    </row>
    <row r="142" spans="19:22" x14ac:dyDescent="0.35">
      <c r="S142">
        <v>134</v>
      </c>
      <c r="T142" t="s">
        <v>177</v>
      </c>
      <c r="U142" t="s">
        <v>377</v>
      </c>
      <c r="V142" t="s">
        <v>364</v>
      </c>
    </row>
    <row r="143" spans="19:22" x14ac:dyDescent="0.35">
      <c r="S143">
        <v>135</v>
      </c>
      <c r="T143" t="s">
        <v>178</v>
      </c>
      <c r="U143" t="s">
        <v>378</v>
      </c>
      <c r="V143" t="s">
        <v>364</v>
      </c>
    </row>
    <row r="144" spans="19:22" x14ac:dyDescent="0.35">
      <c r="S144">
        <v>136</v>
      </c>
      <c r="T144" t="s">
        <v>179</v>
      </c>
      <c r="U144" t="s">
        <v>379</v>
      </c>
      <c r="V144" t="s">
        <v>364</v>
      </c>
    </row>
    <row r="145" spans="19:22" x14ac:dyDescent="0.35">
      <c r="S145">
        <v>137</v>
      </c>
      <c r="T145" t="s">
        <v>180</v>
      </c>
      <c r="U145" t="s">
        <v>380</v>
      </c>
      <c r="V145" t="s">
        <v>325</v>
      </c>
    </row>
    <row r="146" spans="19:22" x14ac:dyDescent="0.35">
      <c r="S146">
        <v>138</v>
      </c>
      <c r="T146" t="s">
        <v>181</v>
      </c>
      <c r="U146" t="s">
        <v>381</v>
      </c>
      <c r="V146" t="s">
        <v>334</v>
      </c>
    </row>
    <row r="147" spans="19:22" x14ac:dyDescent="0.35">
      <c r="S147">
        <v>139</v>
      </c>
      <c r="T147" t="s">
        <v>182</v>
      </c>
      <c r="U147" t="s">
        <v>382</v>
      </c>
      <c r="V147" t="s">
        <v>334</v>
      </c>
    </row>
    <row r="148" spans="19:22" x14ac:dyDescent="0.35">
      <c r="S148">
        <v>140</v>
      </c>
      <c r="T148" t="s">
        <v>183</v>
      </c>
      <c r="U148" t="s">
        <v>383</v>
      </c>
      <c r="V148" t="s">
        <v>334</v>
      </c>
    </row>
    <row r="149" spans="19:22" x14ac:dyDescent="0.35">
      <c r="S149">
        <v>141</v>
      </c>
      <c r="T149" t="s">
        <v>184</v>
      </c>
      <c r="U149" t="s">
        <v>384</v>
      </c>
      <c r="V149" t="s">
        <v>334</v>
      </c>
    </row>
    <row r="150" spans="19:22" x14ac:dyDescent="0.35">
      <c r="S150">
        <v>142</v>
      </c>
      <c r="T150" t="s">
        <v>185</v>
      </c>
      <c r="U150" t="s">
        <v>385</v>
      </c>
      <c r="V150" t="s">
        <v>334</v>
      </c>
    </row>
    <row r="151" spans="19:22" x14ac:dyDescent="0.35">
      <c r="S151">
        <v>143</v>
      </c>
      <c r="T151" t="s">
        <v>186</v>
      </c>
      <c r="U151" t="s">
        <v>386</v>
      </c>
      <c r="V151" t="s">
        <v>334</v>
      </c>
    </row>
    <row r="152" spans="19:22" x14ac:dyDescent="0.35">
      <c r="S152">
        <v>144</v>
      </c>
      <c r="T152" t="s">
        <v>187</v>
      </c>
      <c r="U152" t="s">
        <v>387</v>
      </c>
      <c r="V152" t="s">
        <v>364</v>
      </c>
    </row>
    <row r="153" spans="19:22" x14ac:dyDescent="0.35">
      <c r="S153">
        <v>145</v>
      </c>
      <c r="T153" t="s">
        <v>188</v>
      </c>
      <c r="U153" t="s">
        <v>388</v>
      </c>
      <c r="V153" t="s">
        <v>261</v>
      </c>
    </row>
    <row r="154" spans="19:22" x14ac:dyDescent="0.35">
      <c r="S154">
        <v>146</v>
      </c>
      <c r="T154" t="s">
        <v>189</v>
      </c>
      <c r="U154" t="s">
        <v>389</v>
      </c>
      <c r="V154" t="s">
        <v>261</v>
      </c>
    </row>
    <row r="155" spans="19:22" x14ac:dyDescent="0.35">
      <c r="S155">
        <v>147</v>
      </c>
      <c r="T155" t="s">
        <v>190</v>
      </c>
      <c r="U155" t="s">
        <v>390</v>
      </c>
      <c r="V155" t="s">
        <v>261</v>
      </c>
    </row>
    <row r="156" spans="19:22" x14ac:dyDescent="0.35">
      <c r="S156">
        <v>148</v>
      </c>
      <c r="T156" t="s">
        <v>191</v>
      </c>
      <c r="U156" t="s">
        <v>391</v>
      </c>
      <c r="V156" t="s">
        <v>261</v>
      </c>
    </row>
    <row r="157" spans="19:22" x14ac:dyDescent="0.35">
      <c r="S157">
        <v>149</v>
      </c>
      <c r="T157" t="s">
        <v>192</v>
      </c>
      <c r="U157" t="s">
        <v>392</v>
      </c>
      <c r="V157" t="s">
        <v>393</v>
      </c>
    </row>
    <row r="158" spans="19:22" x14ac:dyDescent="0.35">
      <c r="S158">
        <v>150</v>
      </c>
      <c r="T158" t="s">
        <v>193</v>
      </c>
      <c r="U158" t="s">
        <v>394</v>
      </c>
      <c r="V158" t="s">
        <v>393</v>
      </c>
    </row>
    <row r="159" spans="19:22" x14ac:dyDescent="0.35">
      <c r="S159">
        <v>151</v>
      </c>
      <c r="T159" t="s">
        <v>194</v>
      </c>
      <c r="U159" t="s">
        <v>395</v>
      </c>
      <c r="V159" t="s">
        <v>393</v>
      </c>
    </row>
    <row r="160" spans="19:22" x14ac:dyDescent="0.35">
      <c r="S160">
        <v>152</v>
      </c>
      <c r="T160" t="s">
        <v>195</v>
      </c>
      <c r="U160" t="s">
        <v>396</v>
      </c>
      <c r="V160" t="s">
        <v>393</v>
      </c>
    </row>
    <row r="161" spans="19:22" x14ac:dyDescent="0.35">
      <c r="S161">
        <v>153</v>
      </c>
      <c r="T161" t="s">
        <v>196</v>
      </c>
      <c r="U161" t="s">
        <v>397</v>
      </c>
      <c r="V161" t="s">
        <v>393</v>
      </c>
    </row>
    <row r="162" spans="19:22" x14ac:dyDescent="0.35">
      <c r="S162">
        <v>154</v>
      </c>
      <c r="T162" t="s">
        <v>197</v>
      </c>
      <c r="U162" t="s">
        <v>398</v>
      </c>
      <c r="V162" t="s">
        <v>399</v>
      </c>
    </row>
    <row r="163" spans="19:22" x14ac:dyDescent="0.35">
      <c r="S163">
        <v>155</v>
      </c>
      <c r="T163" t="s">
        <v>198</v>
      </c>
      <c r="U163" t="s">
        <v>400</v>
      </c>
      <c r="V163" t="s">
        <v>399</v>
      </c>
    </row>
    <row r="164" spans="19:22" x14ac:dyDescent="0.35">
      <c r="S164">
        <v>156</v>
      </c>
      <c r="T164" t="s">
        <v>199</v>
      </c>
      <c r="U164" t="s">
        <v>401</v>
      </c>
      <c r="V164" t="s">
        <v>399</v>
      </c>
    </row>
    <row r="165" spans="19:22" x14ac:dyDescent="0.35">
      <c r="S165">
        <v>157</v>
      </c>
      <c r="T165" t="s">
        <v>200</v>
      </c>
      <c r="U165" t="s">
        <v>402</v>
      </c>
      <c r="V165" t="s">
        <v>403</v>
      </c>
    </row>
    <row r="166" spans="19:22" x14ac:dyDescent="0.35">
      <c r="S166">
        <v>158</v>
      </c>
      <c r="T166" t="s">
        <v>201</v>
      </c>
      <c r="U166" t="s">
        <v>404</v>
      </c>
      <c r="V166" t="s">
        <v>403</v>
      </c>
    </row>
    <row r="167" spans="19:22" x14ac:dyDescent="0.35">
      <c r="S167">
        <v>159</v>
      </c>
      <c r="T167" t="s">
        <v>202</v>
      </c>
      <c r="U167" t="s">
        <v>405</v>
      </c>
      <c r="V167" t="s">
        <v>403</v>
      </c>
    </row>
    <row r="168" spans="19:22" x14ac:dyDescent="0.35">
      <c r="S168">
        <v>160</v>
      </c>
      <c r="T168" t="s">
        <v>203</v>
      </c>
      <c r="U168" t="s">
        <v>406</v>
      </c>
      <c r="V168" t="s">
        <v>403</v>
      </c>
    </row>
    <row r="169" spans="19:22" x14ac:dyDescent="0.35">
      <c r="S169">
        <v>161</v>
      </c>
      <c r="T169" t="s">
        <v>204</v>
      </c>
      <c r="U169" t="s">
        <v>407</v>
      </c>
      <c r="V169" t="s">
        <v>403</v>
      </c>
    </row>
    <row r="170" spans="19:22" x14ac:dyDescent="0.35">
      <c r="S170">
        <v>162</v>
      </c>
      <c r="T170" t="s">
        <v>205</v>
      </c>
      <c r="U170" t="s">
        <v>408</v>
      </c>
      <c r="V170" t="s">
        <v>403</v>
      </c>
    </row>
    <row r="171" spans="19:22" x14ac:dyDescent="0.35">
      <c r="S171">
        <v>163</v>
      </c>
      <c r="T171" t="s">
        <v>206</v>
      </c>
      <c r="U171" t="s">
        <v>409</v>
      </c>
      <c r="V171" t="s">
        <v>261</v>
      </c>
    </row>
    <row r="172" spans="19:22" x14ac:dyDescent="0.35">
      <c r="S172">
        <v>164</v>
      </c>
      <c r="T172" t="s">
        <v>207</v>
      </c>
      <c r="U172" t="s">
        <v>410</v>
      </c>
      <c r="V172" t="s">
        <v>399</v>
      </c>
    </row>
    <row r="173" spans="19:22" x14ac:dyDescent="0.35">
      <c r="S173">
        <v>165</v>
      </c>
      <c r="T173" t="s">
        <v>208</v>
      </c>
      <c r="U173" t="s">
        <v>411</v>
      </c>
      <c r="V173" t="s">
        <v>399</v>
      </c>
    </row>
    <row r="174" spans="19:22" x14ac:dyDescent="0.35">
      <c r="S174">
        <v>166</v>
      </c>
      <c r="T174" t="s">
        <v>209</v>
      </c>
      <c r="U174" t="s">
        <v>412</v>
      </c>
      <c r="V174" t="s">
        <v>261</v>
      </c>
    </row>
    <row r="175" spans="19:22" x14ac:dyDescent="0.35">
      <c r="S175">
        <v>167</v>
      </c>
      <c r="T175" t="s">
        <v>210</v>
      </c>
      <c r="U175" t="s">
        <v>413</v>
      </c>
      <c r="V175" t="s">
        <v>261</v>
      </c>
    </row>
    <row r="176" spans="19:22" x14ac:dyDescent="0.35">
      <c r="S176">
        <v>168</v>
      </c>
      <c r="T176" t="s">
        <v>211</v>
      </c>
      <c r="U176" t="s">
        <v>414</v>
      </c>
      <c r="V176" t="s">
        <v>261</v>
      </c>
    </row>
    <row r="177" spans="19:22" x14ac:dyDescent="0.35">
      <c r="S177">
        <v>169</v>
      </c>
      <c r="T177" t="s">
        <v>212</v>
      </c>
      <c r="U177" t="s">
        <v>415</v>
      </c>
      <c r="V177" t="s">
        <v>261</v>
      </c>
    </row>
    <row r="178" spans="19:22" x14ac:dyDescent="0.35">
      <c r="S178">
        <v>170</v>
      </c>
      <c r="T178" t="s">
        <v>213</v>
      </c>
      <c r="U178" t="s">
        <v>416</v>
      </c>
      <c r="V178" t="s">
        <v>261</v>
      </c>
    </row>
    <row r="179" spans="19:22" x14ac:dyDescent="0.35">
      <c r="S179">
        <v>171</v>
      </c>
      <c r="T179" t="s">
        <v>214</v>
      </c>
      <c r="U179" t="s">
        <v>417</v>
      </c>
      <c r="V179" t="s">
        <v>261</v>
      </c>
    </row>
    <row r="180" spans="19:22" x14ac:dyDescent="0.35">
      <c r="S180">
        <v>172</v>
      </c>
      <c r="T180" t="s">
        <v>215</v>
      </c>
      <c r="U180" t="s">
        <v>418</v>
      </c>
      <c r="V180" t="s">
        <v>261</v>
      </c>
    </row>
    <row r="181" spans="19:22" x14ac:dyDescent="0.35">
      <c r="S181">
        <v>173</v>
      </c>
      <c r="T181" t="s">
        <v>216</v>
      </c>
      <c r="U181" t="s">
        <v>419</v>
      </c>
      <c r="V181" t="s">
        <v>261</v>
      </c>
    </row>
    <row r="182" spans="19:22" x14ac:dyDescent="0.35">
      <c r="S182">
        <v>174</v>
      </c>
      <c r="T182" t="s">
        <v>217</v>
      </c>
      <c r="U182" t="s">
        <v>420</v>
      </c>
      <c r="V182" t="s">
        <v>261</v>
      </c>
    </row>
    <row r="183" spans="19:22" x14ac:dyDescent="0.35">
      <c r="S183">
        <v>175</v>
      </c>
      <c r="T183" t="s">
        <v>218</v>
      </c>
      <c r="U183" t="s">
        <v>421</v>
      </c>
      <c r="V183" t="s">
        <v>261</v>
      </c>
    </row>
    <row r="184" spans="19:22" x14ac:dyDescent="0.35">
      <c r="S184">
        <v>176</v>
      </c>
      <c r="T184" t="s">
        <v>219</v>
      </c>
      <c r="U184" t="s">
        <v>422</v>
      </c>
      <c r="V184" t="s">
        <v>261</v>
      </c>
    </row>
    <row r="185" spans="19:22" x14ac:dyDescent="0.35">
      <c r="S185">
        <v>177</v>
      </c>
      <c r="T185" t="s">
        <v>220</v>
      </c>
      <c r="U185" t="s">
        <v>423</v>
      </c>
      <c r="V185" t="s">
        <v>432</v>
      </c>
    </row>
    <row r="186" spans="19:22" x14ac:dyDescent="0.35">
      <c r="S186">
        <v>178</v>
      </c>
      <c r="T186" t="s">
        <v>221</v>
      </c>
      <c r="U186" t="s">
        <v>424</v>
      </c>
      <c r="V186" t="s">
        <v>432</v>
      </c>
    </row>
    <row r="187" spans="19:22" x14ac:dyDescent="0.35">
      <c r="S187">
        <v>179</v>
      </c>
      <c r="T187" t="s">
        <v>222</v>
      </c>
      <c r="U187" t="s">
        <v>425</v>
      </c>
      <c r="V187" t="s">
        <v>432</v>
      </c>
    </row>
    <row r="188" spans="19:22" x14ac:dyDescent="0.35">
      <c r="S188">
        <v>180</v>
      </c>
      <c r="T188" t="s">
        <v>223</v>
      </c>
      <c r="U188" t="s">
        <v>426</v>
      </c>
      <c r="V188" t="s">
        <v>432</v>
      </c>
    </row>
    <row r="189" spans="19:22" x14ac:dyDescent="0.35">
      <c r="S189">
        <v>181</v>
      </c>
      <c r="T189" t="s">
        <v>224</v>
      </c>
      <c r="U189" t="s">
        <v>427</v>
      </c>
      <c r="V189" t="s">
        <v>261</v>
      </c>
    </row>
    <row r="190" spans="19:22" x14ac:dyDescent="0.35">
      <c r="S190">
        <v>182</v>
      </c>
      <c r="T190" t="s">
        <v>225</v>
      </c>
      <c r="U190" t="s">
        <v>428</v>
      </c>
      <c r="V190" t="s">
        <v>261</v>
      </c>
    </row>
    <row r="191" spans="19:22" x14ac:dyDescent="0.35">
      <c r="S191">
        <v>183</v>
      </c>
      <c r="T191" t="s">
        <v>226</v>
      </c>
      <c r="U191" t="s">
        <v>429</v>
      </c>
      <c r="V191" t="s">
        <v>261</v>
      </c>
    </row>
    <row r="192" spans="19:22" x14ac:dyDescent="0.35">
      <c r="S192">
        <v>184</v>
      </c>
      <c r="T192" t="s">
        <v>227</v>
      </c>
      <c r="U192" t="s">
        <v>430</v>
      </c>
      <c r="V192" t="s">
        <v>261</v>
      </c>
    </row>
    <row r="193" spans="19:22" x14ac:dyDescent="0.35">
      <c r="S193">
        <v>185</v>
      </c>
      <c r="T193" t="s">
        <v>228</v>
      </c>
      <c r="U193" t="s">
        <v>431</v>
      </c>
      <c r="V193" t="s">
        <v>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8FF0-8A43-4605-8F1C-35542A4B1F61}">
  <dimension ref="C3:G27"/>
  <sheetViews>
    <sheetView tabSelected="1" workbookViewId="0">
      <selection activeCell="F17" sqref="F17"/>
    </sheetView>
  </sheetViews>
  <sheetFormatPr defaultRowHeight="14.5" x14ac:dyDescent="0.35"/>
  <cols>
    <col min="6" max="6" width="8.7265625" style="2"/>
  </cols>
  <sheetData>
    <row r="3" spans="3:7" x14ac:dyDescent="0.35">
      <c r="F3" s="2" t="s">
        <v>437</v>
      </c>
      <c r="G3">
        <v>12</v>
      </c>
    </row>
    <row r="4" spans="3:7" x14ac:dyDescent="0.35">
      <c r="F4" s="2" t="s">
        <v>436</v>
      </c>
      <c r="G4">
        <v>1</v>
      </c>
    </row>
    <row r="5" spans="3:7" x14ac:dyDescent="0.35">
      <c r="F5" s="2" t="s">
        <v>438</v>
      </c>
      <c r="G5">
        <v>-5</v>
      </c>
    </row>
    <row r="6" spans="3:7" x14ac:dyDescent="0.35">
      <c r="F6" s="2" t="s">
        <v>439</v>
      </c>
    </row>
    <row r="7" spans="3:7" x14ac:dyDescent="0.35">
      <c r="C7">
        <v>2020</v>
      </c>
      <c r="D7">
        <f>C7-2030</f>
        <v>-10</v>
      </c>
      <c r="E7">
        <f>C7</f>
        <v>2020</v>
      </c>
      <c r="F7" s="2">
        <f>L/(1+EXP(-k*(D7-x0)))</f>
        <v>8.0314211091418272E-2</v>
      </c>
    </row>
    <row r="8" spans="3:7" x14ac:dyDescent="0.35">
      <c r="C8">
        <v>2021</v>
      </c>
      <c r="D8">
        <f t="shared" ref="D8:D27" si="0">C8-2030</f>
        <v>-9</v>
      </c>
      <c r="E8">
        <f t="shared" ref="E8:E27" si="1">C8</f>
        <v>2021</v>
      </c>
      <c r="F8" s="2">
        <f>L/(1+EXP(-k*(D8-x0)))</f>
        <v>0.21583451954509872</v>
      </c>
    </row>
    <row r="9" spans="3:7" x14ac:dyDescent="0.35">
      <c r="C9">
        <v>2022</v>
      </c>
      <c r="D9">
        <f t="shared" si="0"/>
        <v>-8</v>
      </c>
      <c r="E9">
        <f t="shared" si="1"/>
        <v>2022</v>
      </c>
      <c r="F9" s="2">
        <f>L/(1+EXP(-k*(D9-x0)))</f>
        <v>0.5691104781308014</v>
      </c>
    </row>
    <row r="10" spans="3:7" x14ac:dyDescent="0.35">
      <c r="C10">
        <v>2023</v>
      </c>
      <c r="D10">
        <f t="shared" si="0"/>
        <v>-7</v>
      </c>
      <c r="E10">
        <f t="shared" si="1"/>
        <v>2023</v>
      </c>
      <c r="F10" s="2">
        <f>L/(1+EXP(-k*(D10-x0)))</f>
        <v>1.4304350642654107</v>
      </c>
    </row>
    <row r="11" spans="3:7" x14ac:dyDescent="0.35">
      <c r="C11">
        <v>2024</v>
      </c>
      <c r="D11">
        <f t="shared" si="0"/>
        <v>-6</v>
      </c>
      <c r="E11">
        <f t="shared" si="1"/>
        <v>2024</v>
      </c>
      <c r="F11" s="2">
        <f>L/(1+EXP(-k*(D11-x0)))</f>
        <v>3.2272970564399417</v>
      </c>
    </row>
    <row r="12" spans="3:7" x14ac:dyDescent="0.35">
      <c r="C12">
        <v>2025</v>
      </c>
      <c r="D12">
        <f t="shared" si="0"/>
        <v>-5</v>
      </c>
      <c r="E12">
        <f t="shared" si="1"/>
        <v>2025</v>
      </c>
      <c r="F12" s="2">
        <f>L/(1+EXP(-k*(D12-x0)))</f>
        <v>6</v>
      </c>
    </row>
    <row r="13" spans="3:7" x14ac:dyDescent="0.35">
      <c r="C13">
        <v>2026</v>
      </c>
      <c r="D13">
        <f t="shared" si="0"/>
        <v>-4</v>
      </c>
      <c r="E13">
        <f t="shared" si="1"/>
        <v>2026</v>
      </c>
      <c r="F13" s="2">
        <f>L/(1+EXP(-k*(D13-x0)))</f>
        <v>8.7727029435600592</v>
      </c>
    </row>
    <row r="14" spans="3:7" x14ac:dyDescent="0.35">
      <c r="C14">
        <v>2027</v>
      </c>
      <c r="D14">
        <f t="shared" si="0"/>
        <v>-3</v>
      </c>
      <c r="E14">
        <f t="shared" si="1"/>
        <v>2027</v>
      </c>
      <c r="F14" s="2">
        <f>L/(1+EXP(-k*(D14-x0)))</f>
        <v>10.569564935734588</v>
      </c>
    </row>
    <row r="15" spans="3:7" x14ac:dyDescent="0.35">
      <c r="C15">
        <v>2028</v>
      </c>
      <c r="D15">
        <f t="shared" si="0"/>
        <v>-2</v>
      </c>
      <c r="E15">
        <f t="shared" si="1"/>
        <v>2028</v>
      </c>
      <c r="F15" s="2">
        <f>L/(1+EXP(-k*(D15-x0)))</f>
        <v>11.430889521869199</v>
      </c>
    </row>
    <row r="16" spans="3:7" x14ac:dyDescent="0.35">
      <c r="C16">
        <v>2029</v>
      </c>
      <c r="D16">
        <f t="shared" si="0"/>
        <v>-1</v>
      </c>
      <c r="E16">
        <f t="shared" si="1"/>
        <v>2029</v>
      </c>
      <c r="F16" s="2">
        <f>L/(1+EXP(-k*(D16-x0)))</f>
        <v>11.784165480454901</v>
      </c>
    </row>
    <row r="17" spans="3:6" x14ac:dyDescent="0.35">
      <c r="C17">
        <v>2030</v>
      </c>
      <c r="D17">
        <f t="shared" si="0"/>
        <v>0</v>
      </c>
      <c r="E17">
        <f t="shared" si="1"/>
        <v>2030</v>
      </c>
      <c r="F17" s="2">
        <f>L/(1+EXP(-k*(D17-x0)))</f>
        <v>11.919685788908582</v>
      </c>
    </row>
    <row r="18" spans="3:6" x14ac:dyDescent="0.35">
      <c r="C18">
        <v>2031</v>
      </c>
      <c r="D18">
        <f t="shared" si="0"/>
        <v>1</v>
      </c>
      <c r="E18">
        <f t="shared" si="1"/>
        <v>2031</v>
      </c>
      <c r="F18" s="2">
        <f>L/(1+EXP(-k*(D18-x0)))</f>
        <v>11.970328522120385</v>
      </c>
    </row>
    <row r="19" spans="3:6" x14ac:dyDescent="0.35">
      <c r="C19">
        <v>2032</v>
      </c>
      <c r="D19">
        <f t="shared" si="0"/>
        <v>2</v>
      </c>
      <c r="E19">
        <f t="shared" si="1"/>
        <v>2032</v>
      </c>
      <c r="F19" s="2">
        <f>L/(1+EXP(-k*(D19-x0)))</f>
        <v>11.989067385667193</v>
      </c>
    </row>
    <row r="20" spans="3:6" x14ac:dyDescent="0.35">
      <c r="C20">
        <v>2033</v>
      </c>
      <c r="D20">
        <f t="shared" si="0"/>
        <v>3</v>
      </c>
      <c r="E20">
        <f t="shared" si="1"/>
        <v>2033</v>
      </c>
      <c r="F20" s="2">
        <f>L/(1+EXP(-k*(D20-x0)))</f>
        <v>11.995975798434404</v>
      </c>
    </row>
    <row r="21" spans="3:6" x14ac:dyDescent="0.35">
      <c r="C21">
        <v>2034</v>
      </c>
      <c r="D21">
        <f t="shared" si="0"/>
        <v>4</v>
      </c>
      <c r="E21">
        <f t="shared" si="1"/>
        <v>2034</v>
      </c>
      <c r="F21" s="2">
        <f>L/(1+EXP(-k*(D21-x0)))</f>
        <v>11.998519265088165</v>
      </c>
    </row>
    <row r="22" spans="3:6" x14ac:dyDescent="0.35">
      <c r="C22">
        <v>2035</v>
      </c>
      <c r="D22">
        <f t="shared" si="0"/>
        <v>5</v>
      </c>
      <c r="E22">
        <f t="shared" si="1"/>
        <v>2035</v>
      </c>
      <c r="F22" s="2">
        <f>L/(1+EXP(-k*(D22-x0)))</f>
        <v>11.99945522557557</v>
      </c>
    </row>
    <row r="23" spans="3:6" x14ac:dyDescent="0.35">
      <c r="C23">
        <v>2036</v>
      </c>
      <c r="D23">
        <f t="shared" si="0"/>
        <v>6</v>
      </c>
      <c r="E23">
        <f t="shared" si="1"/>
        <v>2036</v>
      </c>
      <c r="F23" s="2">
        <f>L/(1+EXP(-k*(D23-x0)))</f>
        <v>11.999799582937824</v>
      </c>
    </row>
    <row r="24" spans="3:6" x14ac:dyDescent="0.35">
      <c r="C24">
        <v>2037</v>
      </c>
      <c r="D24">
        <f t="shared" si="0"/>
        <v>7</v>
      </c>
      <c r="E24">
        <f t="shared" si="1"/>
        <v>2037</v>
      </c>
      <c r="F24" s="2">
        <f>L/(1+EXP(-k*(D24-x0)))</f>
        <v>11.999926269904773</v>
      </c>
    </row>
    <row r="25" spans="3:6" x14ac:dyDescent="0.35">
      <c r="C25">
        <v>2038</v>
      </c>
      <c r="D25">
        <f t="shared" si="0"/>
        <v>8</v>
      </c>
      <c r="E25">
        <f t="shared" si="1"/>
        <v>2038</v>
      </c>
      <c r="F25" s="2">
        <f>L/(1+EXP(-k*(D25-x0)))</f>
        <v>11.999972876108425</v>
      </c>
    </row>
    <row r="26" spans="3:6" x14ac:dyDescent="0.35">
      <c r="C26">
        <v>2039</v>
      </c>
      <c r="D26">
        <f t="shared" si="0"/>
        <v>9</v>
      </c>
      <c r="E26">
        <f t="shared" si="1"/>
        <v>2039</v>
      </c>
      <c r="F26" s="2">
        <f>L/(1+EXP(-k*(D26-x0)))</f>
        <v>11.999990021663667</v>
      </c>
    </row>
    <row r="27" spans="3:6" x14ac:dyDescent="0.35">
      <c r="C27">
        <v>2040</v>
      </c>
      <c r="D27">
        <f t="shared" si="0"/>
        <v>10</v>
      </c>
      <c r="E27">
        <f t="shared" si="1"/>
        <v>2040</v>
      </c>
      <c r="F27" s="2">
        <f>L/(1+EXP(-k*(D27-x0)))</f>
        <v>11.999996329173277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k</vt:lpstr>
      <vt:lpstr>L</vt:lpstr>
      <vt:lpstr>x0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</dc:creator>
  <cp:lastModifiedBy>Arief</cp:lastModifiedBy>
  <dcterms:created xsi:type="dcterms:W3CDTF">2020-03-11T18:35:00Z</dcterms:created>
  <dcterms:modified xsi:type="dcterms:W3CDTF">2020-03-11T19:41:28Z</dcterms:modified>
</cp:coreProperties>
</file>