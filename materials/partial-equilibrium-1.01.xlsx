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9.xml" ContentType="application/vnd.openxmlformats-officedocument.drawingml.chart+xml"/>
  <Override PartName="/xl/drawings/drawing4.xml" ContentType="application/vnd.openxmlformats-officedocument.drawingml.chartshape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ml.chartshapes+xml"/>
  <Override PartName="/xl/charts/chart12.xml" ContentType="application/vnd.openxmlformats-officedocument.drawingml.chart+xml"/>
  <Override PartName="/xl/drawings/drawing6.xml" ContentType="application/vnd.openxmlformats-officedocument.drawingml.chartshapes+xml"/>
  <Override PartName="/xl/charts/chart13.xml" ContentType="application/vnd.openxmlformats-officedocument.drawingml.chart+xml"/>
  <Override PartName="/xl/drawings/drawing7.xml" ContentType="application/vnd.openxmlformats-officedocument.drawingml.chartshapes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BI\TRAININGYOGYA\biyogya_files\"/>
    </mc:Choice>
  </mc:AlternateContent>
  <xr:revisionPtr revIDLastSave="0" documentId="13_ncr:1_{C1B6662B-A915-4495-85DC-BDBB849A7398}" xr6:coauthVersionLast="44" xr6:coauthVersionMax="44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Sheet1" sheetId="1" state="hidden" r:id="rId1"/>
    <sheet name="Keterangan" sheetId="3" r:id="rId2"/>
    <sheet name="Diagram" sheetId="2" r:id="rId3"/>
  </sheets>
  <definedNames>
    <definedName name="alpha0">Sheet1!$D$8</definedName>
    <definedName name="alpha1">Sheet1!$E$8</definedName>
    <definedName name="beta0">Sheet1!$D$9</definedName>
    <definedName name="beta1">Sheet1!$E$9</definedName>
    <definedName name="capital0">Sheet1!$D$10</definedName>
    <definedName name="capital1">Sheet1!$E$10</definedName>
    <definedName name="firmno0">Sheet1!$D$12</definedName>
    <definedName name="firmno1">Sheet1!$E$12</definedName>
    <definedName name="goodz0">Sheet1!$D$18</definedName>
    <definedName name="goodz1">Sheet1!$E$18</definedName>
    <definedName name="hhno0">Sheet1!$D$6</definedName>
    <definedName name="hhno1">Sheet1!$E$6</definedName>
    <definedName name="income0">Sheet1!$D$5</definedName>
    <definedName name="income1">Sheet1!$E$5</definedName>
    <definedName name="price0">Sheet1!$D$15</definedName>
    <definedName name="price1">Sheet1!$E$15</definedName>
    <definedName name="pricez">Sheet1!$D$13</definedName>
    <definedName name="pricez0">Sheet1!$D$13</definedName>
    <definedName name="pricez1">Sheet1!$E$13</definedName>
    <definedName name="qdd0">Sheet1!$D$17</definedName>
    <definedName name="qdemand0">Sheet1!$D$17</definedName>
    <definedName name="qdemand1">Sheet1!$E$17</definedName>
    <definedName name="Quantity0">Sheet1!$D$16</definedName>
    <definedName name="Quantity1">Sheet1!$E$16</definedName>
    <definedName name="rent0">Sheet1!$D$11</definedName>
    <definedName name="rent1">Sheet1!$E$11</definedName>
    <definedName name="theta">Sheet1!$D$4</definedName>
    <definedName name="theta0">Sheet1!$D$4</definedName>
    <definedName name="theta1">Sheet1!$E$4</definedName>
    <definedName name="utility0">Sheet1!$D$19</definedName>
    <definedName name="utility1">Sheet1!$E$19</definedName>
    <definedName name="wage0">Sheet1!$D$7</definedName>
    <definedName name="wage1">Sheet1!$E$7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11" i="2" l="1"/>
  <c r="E10" i="1" s="1"/>
  <c r="O12" i="2"/>
  <c r="E11" i="1" s="1"/>
  <c r="O13" i="2"/>
  <c r="E12" i="1" s="1"/>
  <c r="O7" i="2"/>
  <c r="E6" i="1" s="1"/>
  <c r="O6" i="2"/>
  <c r="E5" i="1" s="1"/>
  <c r="O10" i="2"/>
  <c r="E9" i="1" s="1"/>
  <c r="O9" i="2"/>
  <c r="E8" i="1" s="1"/>
  <c r="O8" i="2"/>
  <c r="E7" i="1" s="1"/>
  <c r="O5" i="2"/>
  <c r="E4" i="1" s="1"/>
  <c r="AF5" i="1"/>
  <c r="AH5" i="1" s="1"/>
  <c r="AF6" i="1"/>
  <c r="AJ6" i="1" s="1"/>
  <c r="AL6" i="1" s="1"/>
  <c r="AF7" i="1"/>
  <c r="AH7" i="1" s="1"/>
  <c r="AF8" i="1"/>
  <c r="AJ8" i="1" s="1"/>
  <c r="AL8" i="1" s="1"/>
  <c r="AF9" i="1"/>
  <c r="AJ9" i="1" s="1"/>
  <c r="AL9" i="1" s="1"/>
  <c r="AF10" i="1"/>
  <c r="AH10" i="1" s="1"/>
  <c r="AF11" i="1"/>
  <c r="AH11" i="1" s="1"/>
  <c r="AF12" i="1"/>
  <c r="AH12" i="1" s="1"/>
  <c r="AF13" i="1"/>
  <c r="AH13" i="1" s="1"/>
  <c r="AF14" i="1"/>
  <c r="AJ14" i="1" s="1"/>
  <c r="AL14" i="1" s="1"/>
  <c r="AF15" i="1"/>
  <c r="AJ15" i="1" s="1"/>
  <c r="AL15" i="1" s="1"/>
  <c r="AF16" i="1"/>
  <c r="AH16" i="1" s="1"/>
  <c r="AF17" i="1"/>
  <c r="AH17" i="1" s="1"/>
  <c r="AF18" i="1"/>
  <c r="AJ18" i="1" s="1"/>
  <c r="AL18" i="1" s="1"/>
  <c r="AF19" i="1"/>
  <c r="AJ19" i="1" s="1"/>
  <c r="AL19" i="1" s="1"/>
  <c r="AF20" i="1"/>
  <c r="AH20" i="1" s="1"/>
  <c r="AF21" i="1"/>
  <c r="AH21" i="1" s="1"/>
  <c r="AF22" i="1"/>
  <c r="AJ22" i="1" s="1"/>
  <c r="AL22" i="1" s="1"/>
  <c r="AF23" i="1"/>
  <c r="AJ23" i="1" s="1"/>
  <c r="AL23" i="1" s="1"/>
  <c r="AF24" i="1"/>
  <c r="AH24" i="1" s="1"/>
  <c r="AF25" i="1"/>
  <c r="AH25" i="1" s="1"/>
  <c r="AF26" i="1"/>
  <c r="AJ26" i="1" s="1"/>
  <c r="AL26" i="1" s="1"/>
  <c r="AF27" i="1"/>
  <c r="AH27" i="1" s="1"/>
  <c r="AF28" i="1"/>
  <c r="AH28" i="1" s="1"/>
  <c r="AF29" i="1"/>
  <c r="AH29" i="1" s="1"/>
  <c r="AF30" i="1"/>
  <c r="AJ30" i="1" s="1"/>
  <c r="AL30" i="1" s="1"/>
  <c r="AF31" i="1"/>
  <c r="AJ31" i="1" s="1"/>
  <c r="AL31" i="1" s="1"/>
  <c r="AF32" i="1"/>
  <c r="AH32" i="1" s="1"/>
  <c r="AF33" i="1"/>
  <c r="AH33" i="1" s="1"/>
  <c r="AF34" i="1"/>
  <c r="AJ34" i="1" s="1"/>
  <c r="AL34" i="1" s="1"/>
  <c r="AF35" i="1"/>
  <c r="AJ35" i="1" s="1"/>
  <c r="AL35" i="1" s="1"/>
  <c r="AF36" i="1"/>
  <c r="AH36" i="1" s="1"/>
  <c r="AF37" i="1"/>
  <c r="AH37" i="1" s="1"/>
  <c r="AF38" i="1"/>
  <c r="AJ38" i="1" s="1"/>
  <c r="AL38" i="1" s="1"/>
  <c r="AF39" i="1"/>
  <c r="AJ39" i="1" s="1"/>
  <c r="AL39" i="1" s="1"/>
  <c r="AF40" i="1"/>
  <c r="AH40" i="1" s="1"/>
  <c r="AF41" i="1"/>
  <c r="AH41" i="1" s="1"/>
  <c r="AF42" i="1"/>
  <c r="AJ42" i="1" s="1"/>
  <c r="AL42" i="1" s="1"/>
  <c r="AF43" i="1"/>
  <c r="AH43" i="1" s="1"/>
  <c r="AF44" i="1"/>
  <c r="AJ44" i="1" s="1"/>
  <c r="AL44" i="1" s="1"/>
  <c r="AF45" i="1"/>
  <c r="AH45" i="1" s="1"/>
  <c r="AF46" i="1"/>
  <c r="AJ46" i="1" s="1"/>
  <c r="AL46" i="1" s="1"/>
  <c r="AF4" i="1"/>
  <c r="AH4" i="1" s="1"/>
  <c r="U5" i="1"/>
  <c r="W5" i="1" s="1"/>
  <c r="U6" i="1"/>
  <c r="W6" i="1" s="1"/>
  <c r="U7" i="1"/>
  <c r="W7" i="1" s="1"/>
  <c r="U8" i="1"/>
  <c r="W8" i="1" s="1"/>
  <c r="U9" i="1"/>
  <c r="W9" i="1" s="1"/>
  <c r="U10" i="1"/>
  <c r="W10" i="1" s="1"/>
  <c r="U11" i="1"/>
  <c r="W11" i="1" s="1"/>
  <c r="U12" i="1"/>
  <c r="W12" i="1" s="1"/>
  <c r="U13" i="1"/>
  <c r="W13" i="1" s="1"/>
  <c r="U14" i="1"/>
  <c r="W14" i="1" s="1"/>
  <c r="U15" i="1"/>
  <c r="W15" i="1" s="1"/>
  <c r="U16" i="1"/>
  <c r="W16" i="1" s="1"/>
  <c r="U17" i="1"/>
  <c r="W17" i="1" s="1"/>
  <c r="U18" i="1"/>
  <c r="W18" i="1" s="1"/>
  <c r="U19" i="1"/>
  <c r="W19" i="1" s="1"/>
  <c r="U20" i="1"/>
  <c r="W20" i="1" s="1"/>
  <c r="U21" i="1"/>
  <c r="W21" i="1" s="1"/>
  <c r="U22" i="1"/>
  <c r="W22" i="1" s="1"/>
  <c r="U23" i="1"/>
  <c r="W23" i="1" s="1"/>
  <c r="U24" i="1"/>
  <c r="W24" i="1" s="1"/>
  <c r="U25" i="1"/>
  <c r="W25" i="1" s="1"/>
  <c r="U26" i="1"/>
  <c r="W26" i="1" s="1"/>
  <c r="U27" i="1"/>
  <c r="W27" i="1" s="1"/>
  <c r="U28" i="1"/>
  <c r="W28" i="1" s="1"/>
  <c r="U29" i="1"/>
  <c r="W29" i="1" s="1"/>
  <c r="U30" i="1"/>
  <c r="W30" i="1" s="1"/>
  <c r="U31" i="1"/>
  <c r="W31" i="1" s="1"/>
  <c r="U32" i="1"/>
  <c r="W32" i="1" s="1"/>
  <c r="U33" i="1"/>
  <c r="W33" i="1" s="1"/>
  <c r="U34" i="1"/>
  <c r="W34" i="1" s="1"/>
  <c r="U35" i="1"/>
  <c r="W35" i="1" s="1"/>
  <c r="U36" i="1"/>
  <c r="W36" i="1" s="1"/>
  <c r="U37" i="1"/>
  <c r="W37" i="1" s="1"/>
  <c r="U38" i="1"/>
  <c r="W38" i="1" s="1"/>
  <c r="U39" i="1"/>
  <c r="W39" i="1" s="1"/>
  <c r="U40" i="1"/>
  <c r="W40" i="1" s="1"/>
  <c r="U41" i="1"/>
  <c r="W41" i="1" s="1"/>
  <c r="U42" i="1"/>
  <c r="W42" i="1" s="1"/>
  <c r="U43" i="1"/>
  <c r="W43" i="1" s="1"/>
  <c r="U44" i="1"/>
  <c r="W44" i="1" s="1"/>
  <c r="U45" i="1"/>
  <c r="W45" i="1" s="1"/>
  <c r="U46" i="1"/>
  <c r="W46" i="1" s="1"/>
  <c r="U4" i="1"/>
  <c r="W4" i="1" s="1"/>
  <c r="D18" i="1"/>
  <c r="N4" i="1" s="1"/>
  <c r="N5" i="1" s="1"/>
  <c r="D15" i="1"/>
  <c r="D16" i="1" s="1"/>
  <c r="D17" i="1" s="1"/>
  <c r="L4" i="1" s="1"/>
  <c r="L5" i="1" s="1"/>
  <c r="E13" i="1"/>
  <c r="V5" i="1" l="1"/>
  <c r="X5" i="1" s="1"/>
  <c r="V46" i="1"/>
  <c r="X46" i="1" s="1"/>
  <c r="V38" i="1"/>
  <c r="X38" i="1" s="1"/>
  <c r="V30" i="1"/>
  <c r="X30" i="1" s="1"/>
  <c r="V22" i="1"/>
  <c r="X22" i="1" s="1"/>
  <c r="V14" i="1"/>
  <c r="X14" i="1" s="1"/>
  <c r="V6" i="1"/>
  <c r="X6" i="1" s="1"/>
  <c r="V4" i="1"/>
  <c r="X4" i="1" s="1"/>
  <c r="V39" i="1"/>
  <c r="X39" i="1" s="1"/>
  <c r="V31" i="1"/>
  <c r="X31" i="1" s="1"/>
  <c r="V23" i="1"/>
  <c r="X23" i="1" s="1"/>
  <c r="V15" i="1"/>
  <c r="X15" i="1" s="1"/>
  <c r="V7" i="1"/>
  <c r="X7" i="1" s="1"/>
  <c r="V42" i="1"/>
  <c r="X42" i="1" s="1"/>
  <c r="V34" i="1"/>
  <c r="X34" i="1" s="1"/>
  <c r="V26" i="1"/>
  <c r="X26" i="1" s="1"/>
  <c r="V18" i="1"/>
  <c r="X18" i="1" s="1"/>
  <c r="V10" i="1"/>
  <c r="X10" i="1" s="1"/>
  <c r="V43" i="1"/>
  <c r="X43" i="1" s="1"/>
  <c r="V35" i="1"/>
  <c r="X35" i="1" s="1"/>
  <c r="V27" i="1"/>
  <c r="X27" i="1" s="1"/>
  <c r="V19" i="1"/>
  <c r="X19" i="1" s="1"/>
  <c r="V11" i="1"/>
  <c r="X11" i="1" s="1"/>
  <c r="V44" i="1"/>
  <c r="X44" i="1" s="1"/>
  <c r="V40" i="1"/>
  <c r="X40" i="1" s="1"/>
  <c r="V36" i="1"/>
  <c r="X36" i="1" s="1"/>
  <c r="V32" i="1"/>
  <c r="X32" i="1" s="1"/>
  <c r="V28" i="1"/>
  <c r="X28" i="1" s="1"/>
  <c r="V24" i="1"/>
  <c r="X24" i="1" s="1"/>
  <c r="V20" i="1"/>
  <c r="X20" i="1" s="1"/>
  <c r="V16" i="1"/>
  <c r="X16" i="1" s="1"/>
  <c r="V12" i="1"/>
  <c r="X12" i="1" s="1"/>
  <c r="V8" i="1"/>
  <c r="X8" i="1" s="1"/>
  <c r="V45" i="1"/>
  <c r="X45" i="1" s="1"/>
  <c r="V41" i="1"/>
  <c r="X41" i="1" s="1"/>
  <c r="V37" i="1"/>
  <c r="X37" i="1" s="1"/>
  <c r="V33" i="1"/>
  <c r="X33" i="1" s="1"/>
  <c r="V29" i="1"/>
  <c r="X29" i="1" s="1"/>
  <c r="V25" i="1"/>
  <c r="X25" i="1" s="1"/>
  <c r="V21" i="1"/>
  <c r="X21" i="1" s="1"/>
  <c r="V17" i="1"/>
  <c r="X17" i="1" s="1"/>
  <c r="V13" i="1"/>
  <c r="X13" i="1" s="1"/>
  <c r="V9" i="1"/>
  <c r="X9" i="1" s="1"/>
  <c r="AH46" i="1"/>
  <c r="AH6" i="1"/>
  <c r="AH8" i="1"/>
  <c r="AJ5" i="1"/>
  <c r="AL5" i="1" s="1"/>
  <c r="AH14" i="1"/>
  <c r="AG5" i="1"/>
  <c r="AI5" i="1" s="1"/>
  <c r="AH30" i="1"/>
  <c r="AG42" i="1"/>
  <c r="AI42" i="1" s="1"/>
  <c r="AG34" i="1"/>
  <c r="AI34" i="1" s="1"/>
  <c r="AG26" i="1"/>
  <c r="AI26" i="1" s="1"/>
  <c r="AG18" i="1"/>
  <c r="AI18" i="1" s="1"/>
  <c r="AG10" i="1"/>
  <c r="AI10" i="1" s="1"/>
  <c r="AH39" i="1"/>
  <c r="AN46" i="1"/>
  <c r="AP46" i="1" s="1"/>
  <c r="AN38" i="1"/>
  <c r="AP38" i="1" s="1"/>
  <c r="AN30" i="1"/>
  <c r="AP30" i="1" s="1"/>
  <c r="AN22" i="1"/>
  <c r="AP22" i="1" s="1"/>
  <c r="AN14" i="1"/>
  <c r="AP14" i="1" s="1"/>
  <c r="AN6" i="1"/>
  <c r="AP6" i="1" s="1"/>
  <c r="AG43" i="1"/>
  <c r="AI43" i="1" s="1"/>
  <c r="AG31" i="1"/>
  <c r="AI31" i="1" s="1"/>
  <c r="AG23" i="1"/>
  <c r="AI23" i="1" s="1"/>
  <c r="AG11" i="1"/>
  <c r="AI11" i="1" s="1"/>
  <c r="AN4" i="1"/>
  <c r="AN39" i="1"/>
  <c r="AP39" i="1" s="1"/>
  <c r="AN35" i="1"/>
  <c r="AP35" i="1" s="1"/>
  <c r="AN27" i="1"/>
  <c r="AN19" i="1"/>
  <c r="AP19" i="1" s="1"/>
  <c r="AN11" i="1"/>
  <c r="AG44" i="1"/>
  <c r="AI44" i="1" s="1"/>
  <c r="AG32" i="1"/>
  <c r="AI32" i="1" s="1"/>
  <c r="AG20" i="1"/>
  <c r="AI20" i="1" s="1"/>
  <c r="AG8" i="1"/>
  <c r="AI8" i="1" s="1"/>
  <c r="AH31" i="1"/>
  <c r="AJ27" i="1"/>
  <c r="AL27" i="1" s="1"/>
  <c r="AJ4" i="1"/>
  <c r="AL4" i="1" s="1"/>
  <c r="AN44" i="1"/>
  <c r="AP44" i="1" s="1"/>
  <c r="AN40" i="1"/>
  <c r="AN36" i="1"/>
  <c r="AN32" i="1"/>
  <c r="AN28" i="1"/>
  <c r="AN24" i="1"/>
  <c r="AN20" i="1"/>
  <c r="AN16" i="1"/>
  <c r="AN12" i="1"/>
  <c r="AN8" i="1"/>
  <c r="AP8" i="1" s="1"/>
  <c r="AG46" i="1"/>
  <c r="AI46" i="1" s="1"/>
  <c r="AG38" i="1"/>
  <c r="AI38" i="1" s="1"/>
  <c r="AG30" i="1"/>
  <c r="AI30" i="1" s="1"/>
  <c r="AG22" i="1"/>
  <c r="AI22" i="1" s="1"/>
  <c r="AG14" i="1"/>
  <c r="AI14" i="1" s="1"/>
  <c r="AG6" i="1"/>
  <c r="AI6" i="1" s="1"/>
  <c r="AH23" i="1"/>
  <c r="AJ43" i="1"/>
  <c r="AL43" i="1" s="1"/>
  <c r="AJ11" i="1"/>
  <c r="AL11" i="1" s="1"/>
  <c r="AN42" i="1"/>
  <c r="AP42" i="1" s="1"/>
  <c r="AN34" i="1"/>
  <c r="AP34" i="1" s="1"/>
  <c r="AN26" i="1"/>
  <c r="AP26" i="1" s="1"/>
  <c r="AN18" i="1"/>
  <c r="AP18" i="1" s="1"/>
  <c r="AN10" i="1"/>
  <c r="AG4" i="1"/>
  <c r="AI4" i="1" s="1"/>
  <c r="AG39" i="1"/>
  <c r="AI39" i="1" s="1"/>
  <c r="AG35" i="1"/>
  <c r="AI35" i="1" s="1"/>
  <c r="AG27" i="1"/>
  <c r="AI27" i="1" s="1"/>
  <c r="AG19" i="1"/>
  <c r="AI19" i="1" s="1"/>
  <c r="AG15" i="1"/>
  <c r="AI15" i="1" s="1"/>
  <c r="AG7" i="1"/>
  <c r="AI7" i="1" s="1"/>
  <c r="AN43" i="1"/>
  <c r="AN31" i="1"/>
  <c r="AP31" i="1" s="1"/>
  <c r="AN23" i="1"/>
  <c r="AP23" i="1" s="1"/>
  <c r="AN15" i="1"/>
  <c r="AP15" i="1" s="1"/>
  <c r="AN7" i="1"/>
  <c r="AG40" i="1"/>
  <c r="AI40" i="1" s="1"/>
  <c r="AG36" i="1"/>
  <c r="AI36" i="1" s="1"/>
  <c r="AG28" i="1"/>
  <c r="AI28" i="1" s="1"/>
  <c r="AG24" i="1"/>
  <c r="AI24" i="1" s="1"/>
  <c r="AG16" i="1"/>
  <c r="AI16" i="1" s="1"/>
  <c r="AG12" i="1"/>
  <c r="AI12" i="1" s="1"/>
  <c r="AH15" i="1"/>
  <c r="AJ7" i="1"/>
  <c r="AL7" i="1" s="1"/>
  <c r="AG45" i="1"/>
  <c r="AI45" i="1" s="1"/>
  <c r="AG41" i="1"/>
  <c r="AI41" i="1" s="1"/>
  <c r="AG37" i="1"/>
  <c r="AI37" i="1" s="1"/>
  <c r="AG33" i="1"/>
  <c r="AI33" i="1" s="1"/>
  <c r="AG29" i="1"/>
  <c r="AI29" i="1" s="1"/>
  <c r="AG25" i="1"/>
  <c r="AI25" i="1" s="1"/>
  <c r="AG21" i="1"/>
  <c r="AI21" i="1" s="1"/>
  <c r="AG17" i="1"/>
  <c r="AI17" i="1" s="1"/>
  <c r="AG13" i="1"/>
  <c r="AI13" i="1" s="1"/>
  <c r="AG9" i="1"/>
  <c r="AI9" i="1" s="1"/>
  <c r="AH38" i="1"/>
  <c r="AH22" i="1"/>
  <c r="AN45" i="1"/>
  <c r="AN41" i="1"/>
  <c r="AN37" i="1"/>
  <c r="AN33" i="1"/>
  <c r="AN29" i="1"/>
  <c r="AN25" i="1"/>
  <c r="AN21" i="1"/>
  <c r="AN17" i="1"/>
  <c r="AN13" i="1"/>
  <c r="AN9" i="1"/>
  <c r="AP9" i="1" s="1"/>
  <c r="AN5" i="1"/>
  <c r="AS4" i="1"/>
  <c r="AH42" i="1"/>
  <c r="AH34" i="1"/>
  <c r="AH26" i="1"/>
  <c r="AH18" i="1"/>
  <c r="AH35" i="1"/>
  <c r="AH19" i="1"/>
  <c r="AJ40" i="1"/>
  <c r="AL40" i="1" s="1"/>
  <c r="AJ36" i="1"/>
  <c r="AL36" i="1" s="1"/>
  <c r="AJ32" i="1"/>
  <c r="AL32" i="1" s="1"/>
  <c r="AJ28" i="1"/>
  <c r="AL28" i="1" s="1"/>
  <c r="AJ24" i="1"/>
  <c r="AL24" i="1" s="1"/>
  <c r="AJ20" i="1"/>
  <c r="AL20" i="1" s="1"/>
  <c r="AJ16" i="1"/>
  <c r="AL16" i="1" s="1"/>
  <c r="AJ12" i="1"/>
  <c r="AL12" i="1" s="1"/>
  <c r="AH44" i="1"/>
  <c r="AJ45" i="1"/>
  <c r="AL45" i="1" s="1"/>
  <c r="AJ41" i="1"/>
  <c r="AL41" i="1" s="1"/>
  <c r="AJ37" i="1"/>
  <c r="AL37" i="1" s="1"/>
  <c r="AJ33" i="1"/>
  <c r="AL33" i="1" s="1"/>
  <c r="AJ29" i="1"/>
  <c r="AL29" i="1" s="1"/>
  <c r="AJ25" i="1"/>
  <c r="AL25" i="1" s="1"/>
  <c r="AJ21" i="1"/>
  <c r="AL21" i="1" s="1"/>
  <c r="AJ17" i="1"/>
  <c r="AL17" i="1" s="1"/>
  <c r="AJ13" i="1"/>
  <c r="AL13" i="1" s="1"/>
  <c r="AJ10" i="1"/>
  <c r="AL10" i="1" s="1"/>
  <c r="AH9" i="1"/>
  <c r="AD4" i="1"/>
  <c r="AD5" i="1" s="1"/>
  <c r="Y4" i="1"/>
  <c r="J26" i="1"/>
  <c r="J11" i="1"/>
  <c r="E18" i="1"/>
  <c r="R4" i="1" s="1"/>
  <c r="R5" i="1" s="1"/>
  <c r="J46" i="1"/>
  <c r="J31" i="1"/>
  <c r="J16" i="1"/>
  <c r="J4" i="1"/>
  <c r="J32" i="1"/>
  <c r="J19" i="1"/>
  <c r="J40" i="1"/>
  <c r="J38" i="1"/>
  <c r="J24" i="1"/>
  <c r="J10" i="1"/>
  <c r="J42" i="1"/>
  <c r="J35" i="1"/>
  <c r="J27" i="1"/>
  <c r="J20" i="1"/>
  <c r="J14" i="1"/>
  <c r="J6" i="1"/>
  <c r="J43" i="1"/>
  <c r="J36" i="1"/>
  <c r="J30" i="1"/>
  <c r="J22" i="1"/>
  <c r="J15" i="1"/>
  <c r="J8" i="1"/>
  <c r="J44" i="1"/>
  <c r="J39" i="1"/>
  <c r="J34" i="1"/>
  <c r="J28" i="1"/>
  <c r="J23" i="1"/>
  <c r="J18" i="1"/>
  <c r="J12" i="1"/>
  <c r="J7" i="1"/>
  <c r="D19" i="1"/>
  <c r="J45" i="1"/>
  <c r="J41" i="1"/>
  <c r="J37" i="1"/>
  <c r="J33" i="1"/>
  <c r="J29" i="1"/>
  <c r="J25" i="1"/>
  <c r="J21" i="1"/>
  <c r="J17" i="1"/>
  <c r="J13" i="1"/>
  <c r="J9" i="1"/>
  <c r="J5" i="1"/>
  <c r="E15" i="1"/>
  <c r="Y5" i="1" l="1"/>
  <c r="BC4" i="1"/>
  <c r="AK26" i="1"/>
  <c r="AM26" i="1" s="1"/>
  <c r="AK18" i="1"/>
  <c r="AM18" i="1" s="1"/>
  <c r="AK32" i="1"/>
  <c r="AM32" i="1" s="1"/>
  <c r="AK27" i="1"/>
  <c r="AM27" i="1" s="1"/>
  <c r="AK11" i="1"/>
  <c r="AM11" i="1" s="1"/>
  <c r="AK5" i="1"/>
  <c r="AM5" i="1" s="1"/>
  <c r="AK37" i="1"/>
  <c r="AM37" i="1" s="1"/>
  <c r="AK24" i="1"/>
  <c r="AM24" i="1" s="1"/>
  <c r="AK33" i="1"/>
  <c r="AM33" i="1" s="1"/>
  <c r="AK25" i="1"/>
  <c r="AM25" i="1" s="1"/>
  <c r="AK36" i="1"/>
  <c r="AM36" i="1" s="1"/>
  <c r="AK39" i="1"/>
  <c r="AM39" i="1" s="1"/>
  <c r="AK12" i="1"/>
  <c r="AM12" i="1" s="1"/>
  <c r="AK30" i="1"/>
  <c r="AM30" i="1" s="1"/>
  <c r="AK9" i="1"/>
  <c r="AM9" i="1" s="1"/>
  <c r="AK23" i="1"/>
  <c r="AM23" i="1" s="1"/>
  <c r="AK29" i="1"/>
  <c r="AM29" i="1" s="1"/>
  <c r="AP5" i="1"/>
  <c r="AK4" i="1"/>
  <c r="AM4" i="1" s="1"/>
  <c r="AK19" i="1"/>
  <c r="AM19" i="1" s="1"/>
  <c r="AK16" i="1"/>
  <c r="AM16" i="1" s="1"/>
  <c r="AK15" i="1"/>
  <c r="AM15" i="1" s="1"/>
  <c r="AK31" i="1"/>
  <c r="AM31" i="1" s="1"/>
  <c r="AK22" i="1"/>
  <c r="AM22" i="1" s="1"/>
  <c r="AK41" i="1"/>
  <c r="AM41" i="1" s="1"/>
  <c r="AK40" i="1"/>
  <c r="AM40" i="1" s="1"/>
  <c r="AK44" i="1"/>
  <c r="AM44" i="1" s="1"/>
  <c r="AP20" i="1"/>
  <c r="AP36" i="1"/>
  <c r="AK13" i="1"/>
  <c r="AM13" i="1" s="1"/>
  <c r="AK34" i="1"/>
  <c r="AM34" i="1" s="1"/>
  <c r="AK45" i="1"/>
  <c r="AM45" i="1" s="1"/>
  <c r="AK8" i="1"/>
  <c r="AM8" i="1" s="1"/>
  <c r="AP43" i="1"/>
  <c r="AP10" i="1"/>
  <c r="AP16" i="1"/>
  <c r="AP32" i="1"/>
  <c r="AP4" i="1"/>
  <c r="AW4" i="1"/>
  <c r="BA4" i="1" s="1"/>
  <c r="AS5" i="1"/>
  <c r="AP37" i="1"/>
  <c r="AK46" i="1"/>
  <c r="AM46" i="1" s="1"/>
  <c r="AP33" i="1"/>
  <c r="AP11" i="1"/>
  <c r="AK7" i="1"/>
  <c r="AM7" i="1" s="1"/>
  <c r="AK10" i="1"/>
  <c r="AM10" i="1" s="1"/>
  <c r="AK42" i="1"/>
  <c r="AM42" i="1" s="1"/>
  <c r="AK17" i="1"/>
  <c r="AM17" i="1" s="1"/>
  <c r="AK20" i="1"/>
  <c r="AM20" i="1" s="1"/>
  <c r="AP13" i="1"/>
  <c r="AP29" i="1"/>
  <c r="AP45" i="1"/>
  <c r="AP12" i="1"/>
  <c r="AP28" i="1"/>
  <c r="AU4" i="1"/>
  <c r="AP21" i="1"/>
  <c r="AK43" i="1"/>
  <c r="AM43" i="1" s="1"/>
  <c r="AK14" i="1"/>
  <c r="AM14" i="1" s="1"/>
  <c r="AK21" i="1"/>
  <c r="AM21" i="1" s="1"/>
  <c r="AP17" i="1"/>
  <c r="AP7" i="1"/>
  <c r="AK35" i="1"/>
  <c r="AM35" i="1" s="1"/>
  <c r="AK6" i="1"/>
  <c r="AM6" i="1" s="1"/>
  <c r="AK38" i="1"/>
  <c r="AM38" i="1" s="1"/>
  <c r="AK28" i="1"/>
  <c r="AM28" i="1" s="1"/>
  <c r="AP25" i="1"/>
  <c r="AP41" i="1"/>
  <c r="AP24" i="1"/>
  <c r="AP40" i="1"/>
  <c r="AP27" i="1"/>
  <c r="AA4" i="1"/>
  <c r="AO5" i="1"/>
  <c r="AO7" i="1"/>
  <c r="AQ7" i="1" s="1"/>
  <c r="AO9" i="1"/>
  <c r="AO11" i="1"/>
  <c r="AO13" i="1"/>
  <c r="AO15" i="1"/>
  <c r="AO17" i="1"/>
  <c r="AO19" i="1"/>
  <c r="AO21" i="1"/>
  <c r="AO23" i="1"/>
  <c r="AO25" i="1"/>
  <c r="AO27" i="1"/>
  <c r="AO29" i="1"/>
  <c r="AO31" i="1"/>
  <c r="AO33" i="1"/>
  <c r="AO35" i="1"/>
  <c r="AO37" i="1"/>
  <c r="AO39" i="1"/>
  <c r="AO41" i="1"/>
  <c r="AO43" i="1"/>
  <c r="AO45" i="1"/>
  <c r="AQ45" i="1" s="1"/>
  <c r="AO4" i="1"/>
  <c r="AO6" i="1"/>
  <c r="AO10" i="1"/>
  <c r="AO14" i="1"/>
  <c r="AO16" i="1"/>
  <c r="AO20" i="1"/>
  <c r="AO24" i="1"/>
  <c r="AO28" i="1"/>
  <c r="AO32" i="1"/>
  <c r="AO36" i="1"/>
  <c r="AO40" i="1"/>
  <c r="AO44" i="1"/>
  <c r="AO8" i="1"/>
  <c r="AQ8" i="1" s="1"/>
  <c r="AO12" i="1"/>
  <c r="AO18" i="1"/>
  <c r="AO22" i="1"/>
  <c r="AQ22" i="1" s="1"/>
  <c r="AO26" i="1"/>
  <c r="AQ26" i="1" s="1"/>
  <c r="AO30" i="1"/>
  <c r="AO34" i="1"/>
  <c r="AQ34" i="1" s="1"/>
  <c r="AO38" i="1"/>
  <c r="AO42" i="1"/>
  <c r="AO46" i="1"/>
  <c r="AQ46" i="1" s="1"/>
  <c r="H46" i="1"/>
  <c r="H40" i="1"/>
  <c r="H19" i="1"/>
  <c r="H27" i="1"/>
  <c r="H35" i="1"/>
  <c r="H43" i="1"/>
  <c r="H10" i="1"/>
  <c r="H22" i="1"/>
  <c r="H26" i="1"/>
  <c r="H34" i="1"/>
  <c r="H42" i="1"/>
  <c r="H5" i="1"/>
  <c r="H9" i="1"/>
  <c r="H13" i="1"/>
  <c r="H17" i="1"/>
  <c r="H21" i="1"/>
  <c r="H25" i="1"/>
  <c r="H29" i="1"/>
  <c r="H33" i="1"/>
  <c r="H37" i="1"/>
  <c r="H41" i="1"/>
  <c r="H45" i="1"/>
  <c r="H8" i="1"/>
  <c r="H12" i="1"/>
  <c r="H16" i="1"/>
  <c r="H20" i="1"/>
  <c r="H24" i="1"/>
  <c r="H28" i="1"/>
  <c r="H32" i="1"/>
  <c r="H36" i="1"/>
  <c r="H44" i="1"/>
  <c r="H7" i="1"/>
  <c r="H11" i="1"/>
  <c r="H15" i="1"/>
  <c r="H23" i="1"/>
  <c r="H31" i="1"/>
  <c r="H39" i="1"/>
  <c r="H6" i="1"/>
  <c r="H14" i="1"/>
  <c r="H18" i="1"/>
  <c r="H30" i="1"/>
  <c r="H38" i="1"/>
  <c r="H4" i="1"/>
  <c r="E16" i="1"/>
  <c r="AT4" i="1" s="1"/>
  <c r="K8" i="1"/>
  <c r="K12" i="1"/>
  <c r="K16" i="1"/>
  <c r="K20" i="1"/>
  <c r="K24" i="1"/>
  <c r="K28" i="1"/>
  <c r="K32" i="1"/>
  <c r="K36" i="1"/>
  <c r="K40" i="1"/>
  <c r="K44" i="1"/>
  <c r="K10" i="1"/>
  <c r="K18" i="1"/>
  <c r="K26" i="1"/>
  <c r="K34" i="1"/>
  <c r="K42" i="1"/>
  <c r="K9" i="1"/>
  <c r="K17" i="1"/>
  <c r="K25" i="1"/>
  <c r="K33" i="1"/>
  <c r="K41" i="1"/>
  <c r="K7" i="1"/>
  <c r="K11" i="1"/>
  <c r="K15" i="1"/>
  <c r="K19" i="1"/>
  <c r="K23" i="1"/>
  <c r="K27" i="1"/>
  <c r="K31" i="1"/>
  <c r="K35" i="1"/>
  <c r="K39" i="1"/>
  <c r="K43" i="1"/>
  <c r="K4" i="1"/>
  <c r="K6" i="1"/>
  <c r="K14" i="1"/>
  <c r="K22" i="1"/>
  <c r="K30" i="1"/>
  <c r="K38" i="1"/>
  <c r="K46" i="1"/>
  <c r="K5" i="1"/>
  <c r="K13" i="1"/>
  <c r="K21" i="1"/>
  <c r="K29" i="1"/>
  <c r="K37" i="1"/>
  <c r="K45" i="1"/>
  <c r="AQ25" i="1" l="1"/>
  <c r="AQ16" i="1"/>
  <c r="AQ30" i="1"/>
  <c r="AQ38" i="1"/>
  <c r="AA5" i="1"/>
  <c r="BD4" i="1"/>
  <c r="AQ27" i="1"/>
  <c r="AQ32" i="1"/>
  <c r="AQ18" i="1"/>
  <c r="AQ37" i="1"/>
  <c r="AQ5" i="1"/>
  <c r="AQ11" i="1"/>
  <c r="AQ24" i="1"/>
  <c r="AQ44" i="1"/>
  <c r="AQ42" i="1"/>
  <c r="AQ4" i="1"/>
  <c r="AQ31" i="1"/>
  <c r="AQ36" i="1"/>
  <c r="AQ6" i="1"/>
  <c r="AQ33" i="1"/>
  <c r="AQ9" i="1"/>
  <c r="AQ39" i="1"/>
  <c r="AQ23" i="1"/>
  <c r="AQ12" i="1"/>
  <c r="AQ17" i="1"/>
  <c r="AQ29" i="1"/>
  <c r="AQ13" i="1"/>
  <c r="AQ20" i="1"/>
  <c r="AQ41" i="1"/>
  <c r="AQ15" i="1"/>
  <c r="AQ40" i="1"/>
  <c r="AQ19" i="1"/>
  <c r="AT5" i="1"/>
  <c r="AX4" i="1"/>
  <c r="BB4" i="1" s="1"/>
  <c r="AQ10" i="1"/>
  <c r="AQ43" i="1"/>
  <c r="AQ35" i="1"/>
  <c r="AY4" i="1"/>
  <c r="AQ28" i="1"/>
  <c r="AQ14" i="1"/>
  <c r="AQ21" i="1"/>
  <c r="AV4" i="1"/>
  <c r="E17" i="1"/>
  <c r="E19" i="1" s="1"/>
  <c r="I8" i="1" s="1"/>
  <c r="AE4" i="1"/>
  <c r="AE5" i="1" s="1"/>
  <c r="AZ4" i="1" l="1"/>
  <c r="P4" i="1"/>
  <c r="P5" i="1" s="1"/>
  <c r="I19" i="1"/>
  <c r="I42" i="1"/>
  <c r="I28" i="1"/>
  <c r="I45" i="1"/>
  <c r="I41" i="1"/>
  <c r="I6" i="1"/>
  <c r="I31" i="1"/>
  <c r="I30" i="1"/>
  <c r="I18" i="1"/>
  <c r="I21" i="1"/>
  <c r="I16" i="1"/>
  <c r="I9" i="1"/>
  <c r="I35" i="1"/>
  <c r="I46" i="1"/>
  <c r="I38" i="1"/>
  <c r="I32" i="1"/>
  <c r="I33" i="1"/>
  <c r="I10" i="1"/>
  <c r="I15" i="1"/>
  <c r="I13" i="1"/>
  <c r="I44" i="1"/>
  <c r="I12" i="1"/>
  <c r="I17" i="1"/>
  <c r="I26" i="1"/>
  <c r="I39" i="1"/>
  <c r="I23" i="1"/>
  <c r="I7" i="1"/>
  <c r="I29" i="1"/>
  <c r="I4" i="1"/>
  <c r="I14" i="1"/>
  <c r="I36" i="1"/>
  <c r="I20" i="1"/>
  <c r="I25" i="1"/>
  <c r="I34" i="1"/>
  <c r="I43" i="1"/>
  <c r="I27" i="1"/>
  <c r="I11" i="1"/>
  <c r="I37" i="1"/>
  <c r="I5" i="1"/>
  <c r="I22" i="1"/>
  <c r="I40" i="1"/>
  <c r="I24" i="1"/>
</calcChain>
</file>

<file path=xl/sharedStrings.xml><?xml version="1.0" encoding="utf-8"?>
<sst xmlns="http://schemas.openxmlformats.org/spreadsheetml/2006/main" count="102" uniqueCount="66">
  <si>
    <t>q</t>
  </si>
  <si>
    <t>y</t>
  </si>
  <si>
    <t>H</t>
  </si>
  <si>
    <t>w</t>
  </si>
  <si>
    <t>α</t>
  </si>
  <si>
    <t>β</t>
  </si>
  <si>
    <t>K</t>
  </si>
  <si>
    <t>r</t>
  </si>
  <si>
    <t>N</t>
  </si>
  <si>
    <t>Preference parameter</t>
  </si>
  <si>
    <t>Income</t>
  </si>
  <si>
    <t>Number of households</t>
  </si>
  <si>
    <t>Wage</t>
  </si>
  <si>
    <t>Production parameter</t>
  </si>
  <si>
    <t>Capital</t>
  </si>
  <si>
    <t>Rental of capital</t>
  </si>
  <si>
    <t>Number of firms</t>
  </si>
  <si>
    <t>Price of other good</t>
  </si>
  <si>
    <t>Pz</t>
  </si>
  <si>
    <t>Before</t>
  </si>
  <si>
    <t>After</t>
  </si>
  <si>
    <t>Price equilibrium</t>
  </si>
  <si>
    <t>P</t>
  </si>
  <si>
    <t>Quantity equilibrium</t>
  </si>
  <si>
    <t>Q</t>
  </si>
  <si>
    <t>Individual demand</t>
  </si>
  <si>
    <t>Individual demand for z</t>
  </si>
  <si>
    <t>z</t>
  </si>
  <si>
    <t>Utility</t>
  </si>
  <si>
    <t>u</t>
  </si>
  <si>
    <t>UTILITY</t>
  </si>
  <si>
    <t>zu0</t>
  </si>
  <si>
    <t>zu1</t>
  </si>
  <si>
    <t>zb0</t>
  </si>
  <si>
    <t>zb1</t>
  </si>
  <si>
    <t>q0</t>
  </si>
  <si>
    <t>z0</t>
  </si>
  <si>
    <t>q1</t>
  </si>
  <si>
    <t>z1</t>
  </si>
  <si>
    <t>p</t>
  </si>
  <si>
    <t>p0</t>
  </si>
  <si>
    <t>p1</t>
  </si>
  <si>
    <t>Q0</t>
  </si>
  <si>
    <t>Q1</t>
  </si>
  <si>
    <t>qs0</t>
  </si>
  <si>
    <t>qs1</t>
  </si>
  <si>
    <t>Qs0</t>
  </si>
  <si>
    <t>Qs1</t>
  </si>
  <si>
    <t>ac0</t>
  </si>
  <si>
    <t>ac1</t>
  </si>
  <si>
    <t>C1</t>
  </si>
  <si>
    <t>C0</t>
  </si>
  <si>
    <t>TR0</t>
  </si>
  <si>
    <t>TR1</t>
  </si>
  <si>
    <t>Profit0</t>
  </si>
  <si>
    <t>Profit1</t>
  </si>
  <si>
    <t>Parameter utility</t>
  </si>
  <si>
    <t>Pendapatan</t>
  </si>
  <si>
    <t>Jumlah konsumen</t>
  </si>
  <si>
    <t>Upah</t>
  </si>
  <si>
    <t>Parameter produksi</t>
  </si>
  <si>
    <t>Kapital</t>
  </si>
  <si>
    <t>Sewa kapital</t>
  </si>
  <si>
    <t>Jumlah produsen</t>
  </si>
  <si>
    <t>Awal</t>
  </si>
  <si>
    <t>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</si>
</sst>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name val="Symbol"/>
      <family val="1"/>
      <charset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2" borderId="0" xfId="0" applyFill="1"/>
    <xf numFmtId="0" fontId="4" fillId="2" borderId="0" xfId="0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 applyProtection="1">
      <alignment horizontal="right"/>
    </xf>
    <xf numFmtId="0" fontId="5" fillId="2" borderId="0" xfId="0" applyFont="1" applyFill="1"/>
    <xf numFmtId="0" fontId="5" fillId="2" borderId="0" xfId="0" applyFont="1" applyFill="1" applyProtection="1">
      <protection locked="0"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39E-2"/>
          <c:w val="0.8329651424171558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Sheet1!$AS$4:$AS$5</c:f>
              <c:numCache>
                <c:formatCode>General</c:formatCode>
                <c:ptCount val="2"/>
                <c:pt idx="0">
                  <c:v>5.0237728630191612</c:v>
                </c:pt>
                <c:pt idx="1">
                  <c:v>5.0237728630191612</c:v>
                </c:pt>
              </c:numCache>
            </c:numRef>
          </c:xVal>
          <c:yVal>
            <c:numRef>
              <c:f>Sheet1!$AR$4:$AR$5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5F-4F47-B212-66E571C21BA1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Sheet1!$AT$4:$AT$5</c:f>
              <c:numCache>
                <c:formatCode>General</c:formatCode>
                <c:ptCount val="2"/>
                <c:pt idx="0">
                  <c:v>5.0237728630191612</c:v>
                </c:pt>
                <c:pt idx="1">
                  <c:v>5.0237728630191612</c:v>
                </c:pt>
              </c:numCache>
            </c:numRef>
          </c:xVal>
          <c:yVal>
            <c:numRef>
              <c:f>Sheet1!$AR$4:$AR$5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B5F-4F47-B212-66E571C2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4215632"/>
        <c:axId val="1704216720"/>
      </c:scatterChart>
      <c:valAx>
        <c:axId val="1704215632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one"/>
        <c:crossAx val="1704216720"/>
        <c:crosses val="autoZero"/>
        <c:crossBetween val="midCat"/>
      </c:valAx>
      <c:valAx>
        <c:axId val="1704216720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cross"/>
        <c:minorTickMark val="none"/>
        <c:tickLblPos val="none"/>
        <c:crossAx val="170421563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2886029996883477E-2"/>
          <c:y val="5.4502491536384125E-2"/>
          <c:w val="0.93525991788885499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Sheet1!$Z$4:$Z$5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Sheet1!$Y$4:$Y$5</c:f>
              <c:numCache>
                <c:formatCode>General</c:formatCode>
                <c:ptCount val="2"/>
                <c:pt idx="0">
                  <c:v>4.976339631918715</c:v>
                </c:pt>
                <c:pt idx="1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F4-4D4B-BE86-8A61D460CB10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xVal>
            <c:numRef>
              <c:f>Sheet1!$AB$4:$AB$5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Sheet1!$AA$4:$AA$5</c:f>
              <c:numCache>
                <c:formatCode>General</c:formatCode>
                <c:ptCount val="2"/>
                <c:pt idx="0">
                  <c:v>4.976339631918715</c:v>
                </c:pt>
                <c:pt idx="1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F4-4D4B-BE86-8A61D460C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63680"/>
        <c:axId val="1831168032"/>
      </c:scatterChart>
      <c:valAx>
        <c:axId val="1831163680"/>
        <c:scaling>
          <c:orientation val="minMax"/>
          <c:max val="1000"/>
        </c:scaling>
        <c:delete val="1"/>
        <c:axPos val="b"/>
        <c:numFmt formatCode="General" sourceLinked="1"/>
        <c:majorTickMark val="cross"/>
        <c:minorTickMark val="none"/>
        <c:tickLblPos val="none"/>
        <c:crossAx val="1831168032"/>
        <c:crosses val="autoZero"/>
        <c:crossBetween val="midCat"/>
      </c:valAx>
      <c:valAx>
        <c:axId val="1831168032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out"/>
        <c:minorTickMark val="none"/>
        <c:tickLblPos val="none"/>
        <c:crossAx val="18311636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2.5329078714723233E-2"/>
          <c:w val="0.8329651424171558"/>
          <c:h val="0.81376931688508414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prstClr val="black"/>
              </a:solidFill>
            </a:ln>
          </c:spPr>
          <c:marker>
            <c:symbol val="none"/>
          </c:marker>
          <c:dPt>
            <c:idx val="1"/>
            <c:bubble3D val="0"/>
            <c:spPr>
              <a:ln w="12700">
                <a:solidFill>
                  <a:prstClr val="black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CE09-4DCA-9E98-FB2E543176C3}"/>
              </c:ext>
            </c:extLst>
          </c:dPt>
          <c:xVal>
            <c:numRef>
              <c:f>Sheet1!$L$4:$L$5</c:f>
              <c:numCache>
                <c:formatCode>General</c:formatCode>
                <c:ptCount val="2"/>
                <c:pt idx="0">
                  <c:v>5.0237728630191612</c:v>
                </c:pt>
                <c:pt idx="1">
                  <c:v>5.0237728630191612</c:v>
                </c:pt>
              </c:numCache>
            </c:numRef>
          </c:xVal>
          <c:yVal>
            <c:numRef>
              <c:f>Sheet1!$M$4:$M$5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09-4DCA-9E98-FB2E543176C3}"/>
            </c:ext>
          </c:extLst>
        </c:ser>
        <c:ser>
          <c:idx val="1"/>
          <c:order val="1"/>
          <c:tx>
            <c:strRef>
              <c:f>Sheet1!$P$4:$P$5</c:f>
              <c:strCache>
                <c:ptCount val="2"/>
                <c:pt idx="0">
                  <c:v>5.023772863</c:v>
                </c:pt>
                <c:pt idx="1">
                  <c:v>5.023772863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 w="12700">
                <a:solidFill>
                  <a:schemeClr val="tx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4-CE09-4DCA-9E98-FB2E543176C3}"/>
              </c:ext>
            </c:extLst>
          </c:dPt>
          <c:xVal>
            <c:numRef>
              <c:f>Sheet1!$P$4:$P$5</c:f>
              <c:numCache>
                <c:formatCode>General</c:formatCode>
                <c:ptCount val="2"/>
                <c:pt idx="0">
                  <c:v>5.0237728630191612</c:v>
                </c:pt>
                <c:pt idx="1">
                  <c:v>5.0237728630191612</c:v>
                </c:pt>
              </c:numCache>
            </c:numRef>
          </c:xVal>
          <c:yVal>
            <c:numRef>
              <c:f>Sheet1!$Q$4:$Q$5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09-4DCA-9E98-FB2E54317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69120"/>
        <c:axId val="1831163136"/>
      </c:scatterChart>
      <c:valAx>
        <c:axId val="1831169120"/>
        <c:scaling>
          <c:orientation val="minMax"/>
          <c:max val="20"/>
        </c:scaling>
        <c:delete val="1"/>
        <c:axPos val="b"/>
        <c:numFmt formatCode="General" sourceLinked="1"/>
        <c:majorTickMark val="cross"/>
        <c:minorTickMark val="none"/>
        <c:tickLblPos val="none"/>
        <c:crossAx val="1831163136"/>
        <c:crosses val="autoZero"/>
        <c:crossBetween val="midCat"/>
      </c:valAx>
      <c:valAx>
        <c:axId val="1831163136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cross"/>
        <c:minorTickMark val="none"/>
        <c:tickLblPos val="none"/>
        <c:crossAx val="1831169120"/>
        <c:crosses val="autoZero"/>
        <c:crossBetween val="midCat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25E-2"/>
          <c:w val="0.8329651424171558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E9-4415-B38F-03263567B236}"/>
            </c:ext>
          </c:extLst>
        </c:ser>
        <c:ser>
          <c:idx val="1"/>
          <c:order val="1"/>
          <c:spPr>
            <a:ln>
              <a:solidFill>
                <a:srgbClr val="C0504D">
                  <a:lumMod val="75000"/>
                </a:srgbClr>
              </a:solidFill>
              <a:prstDash val="lg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E9-4415-B38F-03263567B236}"/>
            </c:ext>
          </c:extLst>
        </c:ser>
        <c:ser>
          <c:idx val="2"/>
          <c:order val="2"/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Sheet1!$AL$4:$AL$46</c:f>
              <c:numCache>
                <c:formatCode>General</c:formatCode>
                <c:ptCount val="43"/>
                <c:pt idx="0">
                  <c:v>125.00400000000002</c:v>
                </c:pt>
                <c:pt idx="1">
                  <c:v>42.769398666917425</c:v>
                </c:pt>
                <c:pt idx="2">
                  <c:v>26.970433625398545</c:v>
                </c:pt>
                <c:pt idx="3">
                  <c:v>9.4100787466009663</c:v>
                </c:pt>
                <c:pt idx="4">
                  <c:v>6.2019860420159745</c:v>
                </c:pt>
                <c:pt idx="5">
                  <c:v>5.0277440382608791</c:v>
                </c:pt>
                <c:pt idx="6">
                  <c:v>4.4550221727660819</c:v>
                </c:pt>
                <c:pt idx="7">
                  <c:v>4.1498026247371822</c:v>
                </c:pt>
                <c:pt idx="8">
                  <c:v>3.9893039586757064</c:v>
                </c:pt>
                <c:pt idx="9">
                  <c:v>3.9168924043088906</c:v>
                </c:pt>
                <c:pt idx="10">
                  <c:v>3.9025196866502414</c:v>
                </c:pt>
                <c:pt idx="11">
                  <c:v>3.9286373122043146</c:v>
                </c:pt>
                <c:pt idx="12">
                  <c:v>3.9842513149602503</c:v>
                </c:pt>
                <c:pt idx="13">
                  <c:v>4.0620937968196502</c:v>
                </c:pt>
                <c:pt idx="14">
                  <c:v>4.157151386045312</c:v>
                </c:pt>
                <c:pt idx="15">
                  <c:v>4.2658444333478922</c:v>
                </c:pt>
                <c:pt idx="16">
                  <c:v>4.3855428602546462</c:v>
                </c:pt>
                <c:pt idx="17">
                  <c:v>4.5142671606934499</c:v>
                </c:pt>
                <c:pt idx="18">
                  <c:v>4.650496510503995</c:v>
                </c:pt>
                <c:pt idx="19">
                  <c:v>4.7930415252733969</c:v>
                </c:pt>
                <c:pt idx="20">
                  <c:v>4.940957478618933</c:v>
                </c:pt>
                <c:pt idx="21">
                  <c:v>5.0934836480152121</c:v>
                </c:pt>
                <c:pt idx="22">
                  <c:v>5.2500000000000009</c:v>
                </c:pt>
                <c:pt idx="23">
                  <c:v>5.4099956628748291</c:v>
                </c:pt>
                <c:pt idx="24">
                  <c:v>5.5730455857458736</c:v>
                </c:pt>
                <c:pt idx="25">
                  <c:v>5.7387929925778787</c:v>
                </c:pt>
                <c:pt idx="26">
                  <c:v>5.906936009565225</c:v>
                </c:pt>
                <c:pt idx="27">
                  <c:v>6.0772173450159466</c:v>
                </c:pt>
                <c:pt idx="28">
                  <c:v>6.2494162337126085</c:v>
                </c:pt>
                <c:pt idx="29">
                  <c:v>6.423342082955668</c:v>
                </c:pt>
                <c:pt idx="30">
                  <c:v>6.5988294125726776</c:v>
                </c:pt>
                <c:pt idx="31">
                  <c:v>6.7757337896232341</c:v>
                </c:pt>
                <c:pt idx="32">
                  <c:v>6.9539285354611122</c:v>
                </c:pt>
                <c:pt idx="33">
                  <c:v>7.133302038115275</c:v>
                </c:pt>
                <c:pt idx="34">
                  <c:v>7.3137555431915198</c:v>
                </c:pt>
                <c:pt idx="35">
                  <c:v>7.4952013261117427</c:v>
                </c:pt>
                <c:pt idx="36">
                  <c:v>7.6775611705348101</c:v>
                </c:pt>
                <c:pt idx="37">
                  <c:v>7.8607650943482978</c:v>
                </c:pt>
                <c:pt idx="38">
                  <c:v>8.044750277162974</c:v>
                </c:pt>
                <c:pt idx="39">
                  <c:v>8.2294601528325355</c:v>
                </c:pt>
                <c:pt idx="40">
                  <c:v>8.4148436379145846</c:v>
                </c:pt>
                <c:pt idx="41">
                  <c:v>8.6008544727316671</c:v>
                </c:pt>
                <c:pt idx="42">
                  <c:v>8.7874506561842942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4E9-4415-B38F-03263567B236}"/>
            </c:ext>
          </c:extLst>
        </c:ser>
        <c:ser>
          <c:idx val="3"/>
          <c:order val="3"/>
          <c:spPr>
            <a:ln>
              <a:prstDash val="lg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Sheet1!$AM$4:$AM$46</c:f>
              <c:numCache>
                <c:formatCode>General</c:formatCode>
                <c:ptCount val="43"/>
                <c:pt idx="0">
                  <c:v>125.00400000000002</c:v>
                </c:pt>
                <c:pt idx="1">
                  <c:v>42.769398666917425</c:v>
                </c:pt>
                <c:pt idx="2">
                  <c:v>26.970433625398545</c:v>
                </c:pt>
                <c:pt idx="3">
                  <c:v>9.4100787466009663</c:v>
                </c:pt>
                <c:pt idx="4">
                  <c:v>6.2019860420159745</c:v>
                </c:pt>
                <c:pt idx="5">
                  <c:v>5.0277440382608791</c:v>
                </c:pt>
                <c:pt idx="6">
                  <c:v>4.4550221727660819</c:v>
                </c:pt>
                <c:pt idx="7">
                  <c:v>4.1498026247371822</c:v>
                </c:pt>
                <c:pt idx="8">
                  <c:v>3.9893039586757064</c:v>
                </c:pt>
                <c:pt idx="9">
                  <c:v>3.9168924043088906</c:v>
                </c:pt>
                <c:pt idx="10">
                  <c:v>3.9025196866502414</c:v>
                </c:pt>
                <c:pt idx="11">
                  <c:v>3.9286373122043146</c:v>
                </c:pt>
                <c:pt idx="12">
                  <c:v>3.9842513149602503</c:v>
                </c:pt>
                <c:pt idx="13">
                  <c:v>4.0620937968196502</c:v>
                </c:pt>
                <c:pt idx="14">
                  <c:v>4.157151386045312</c:v>
                </c:pt>
                <c:pt idx="15">
                  <c:v>4.2658444333478922</c:v>
                </c:pt>
                <c:pt idx="16">
                  <c:v>4.3855428602546462</c:v>
                </c:pt>
                <c:pt idx="17">
                  <c:v>4.5142671606934499</c:v>
                </c:pt>
                <c:pt idx="18">
                  <c:v>4.650496510503995</c:v>
                </c:pt>
                <c:pt idx="19">
                  <c:v>4.7930415252733969</c:v>
                </c:pt>
                <c:pt idx="20">
                  <c:v>4.940957478618933</c:v>
                </c:pt>
                <c:pt idx="21">
                  <c:v>5.0934836480152121</c:v>
                </c:pt>
                <c:pt idx="22">
                  <c:v>5.2500000000000009</c:v>
                </c:pt>
                <c:pt idx="23">
                  <c:v>5.4099956628748291</c:v>
                </c:pt>
                <c:pt idx="24">
                  <c:v>5.5730455857458736</c:v>
                </c:pt>
                <c:pt idx="25">
                  <c:v>5.7387929925778787</c:v>
                </c:pt>
                <c:pt idx="26">
                  <c:v>5.906936009565225</c:v>
                </c:pt>
                <c:pt idx="27">
                  <c:v>6.0772173450159466</c:v>
                </c:pt>
                <c:pt idx="28">
                  <c:v>6.2494162337126085</c:v>
                </c:pt>
                <c:pt idx="29">
                  <c:v>6.423342082955668</c:v>
                </c:pt>
                <c:pt idx="30">
                  <c:v>6.5988294125726776</c:v>
                </c:pt>
                <c:pt idx="31">
                  <c:v>6.7757337896232341</c:v>
                </c:pt>
                <c:pt idx="32">
                  <c:v>6.9539285354611122</c:v>
                </c:pt>
                <c:pt idx="33">
                  <c:v>7.133302038115275</c:v>
                </c:pt>
                <c:pt idx="34">
                  <c:v>7.3137555431915198</c:v>
                </c:pt>
                <c:pt idx="35">
                  <c:v>7.4952013261117427</c:v>
                </c:pt>
                <c:pt idx="36">
                  <c:v>7.6775611705348101</c:v>
                </c:pt>
                <c:pt idx="37">
                  <c:v>7.8607650943482978</c:v>
                </c:pt>
                <c:pt idx="38">
                  <c:v>8.044750277162974</c:v>
                </c:pt>
                <c:pt idx="39">
                  <c:v>8.2294601528325355</c:v>
                </c:pt>
                <c:pt idx="40">
                  <c:v>8.4148436379145846</c:v>
                </c:pt>
                <c:pt idx="41">
                  <c:v>8.6008544727316671</c:v>
                </c:pt>
                <c:pt idx="42">
                  <c:v>8.7874506561842942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4E9-4415-B38F-03263567B236}"/>
            </c:ext>
          </c:extLst>
        </c:ser>
        <c:ser>
          <c:idx val="4"/>
          <c:order val="4"/>
          <c:tx>
            <c:v>qs0</c:v>
          </c:tx>
          <c:spPr>
            <a:ln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Sheet1!$BC$4</c:f>
              <c:numCache>
                <c:formatCode>General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4E9-4415-B38F-03263567B236}"/>
            </c:ext>
          </c:extLst>
        </c:ser>
        <c:ser>
          <c:idx val="5"/>
          <c:order val="5"/>
          <c:tx>
            <c:v>qs1</c:v>
          </c:tx>
          <c:marker>
            <c:symbol val="circl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Sheet1!$BD$4</c:f>
              <c:numCache>
                <c:formatCode>General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4E9-4415-B38F-03263567B236}"/>
            </c:ext>
          </c:extLst>
        </c:ser>
        <c:ser>
          <c:idx val="6"/>
          <c:order val="6"/>
          <c:tx>
            <c:v>ac0</c:v>
          </c:tx>
          <c:spPr>
            <a:ln>
              <a:noFill/>
            </a:ln>
          </c:spPr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Sheet1!$BA$4</c:f>
              <c:numCache>
                <c:formatCode>General</c:formatCode>
                <c:ptCount val="1"/>
                <c:pt idx="0">
                  <c:v>3.9810717055349727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4E9-4415-B38F-03263567B236}"/>
            </c:ext>
          </c:extLst>
        </c:ser>
        <c:ser>
          <c:idx val="7"/>
          <c:order val="7"/>
          <c:tx>
            <c:v>ac1</c:v>
          </c:tx>
          <c:marker>
            <c:symbol val="circl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Sheet1!$BB$4</c:f>
              <c:numCache>
                <c:formatCode>General</c:formatCode>
                <c:ptCount val="1"/>
                <c:pt idx="0">
                  <c:v>3.9810717055349727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4E9-4415-B38F-03263567B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164768"/>
        <c:axId val="1831165312"/>
      </c:scatterChart>
      <c:valAx>
        <c:axId val="1831164768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31165312"/>
        <c:crosses val="autoZero"/>
        <c:crossBetween val="midCat"/>
      </c:valAx>
      <c:valAx>
        <c:axId val="1831165312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31164768"/>
        <c:crosses val="autoZero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39E-2"/>
          <c:w val="0.8329651424171558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Sheet1!$AJ$4:$AJ$46</c:f>
              <c:numCache>
                <c:formatCode>General</c:formatCode>
                <c:ptCount val="43"/>
                <c:pt idx="0">
                  <c:v>10.00032</c:v>
                </c:pt>
                <c:pt idx="1">
                  <c:v>10.004678428381141</c:v>
                </c:pt>
                <c:pt idx="2">
                  <c:v>10.01485308426756</c:v>
                </c:pt>
                <c:pt idx="3">
                  <c:v>10.217153409327592</c:v>
                </c:pt>
                <c:pt idx="4">
                  <c:v>10.689419100810204</c:v>
                </c:pt>
                <c:pt idx="5">
                  <c:v>11.355091881588681</c:v>
                </c:pt>
                <c:pt idx="6">
                  <c:v>12.188769211746173</c:v>
                </c:pt>
                <c:pt idx="7">
                  <c:v>13.1748021039364</c:v>
                </c:pt>
                <c:pt idx="8">
                  <c:v>14.302148556694879</c:v>
                </c:pt>
                <c:pt idx="9">
                  <c:v>15.562414974923911</c:v>
                </c:pt>
                <c:pt idx="10">
                  <c:v>16.948909098482961</c:v>
                </c:pt>
                <c:pt idx="11">
                  <c:v>18.456114104924747</c:v>
                </c:pt>
                <c:pt idx="12">
                  <c:v>20.079368399158994</c:v>
                </c:pt>
                <c:pt idx="13">
                  <c:v>21.814657262472373</c:v>
                </c:pt>
                <c:pt idx="14">
                  <c:v>23.658470289241855</c:v>
                </c:pt>
                <c:pt idx="15">
                  <c:v>25.607699902533618</c:v>
                </c:pt>
                <c:pt idx="16">
                  <c:v>27.659566765355763</c:v>
                </c:pt>
                <c:pt idx="17">
                  <c:v>29.811563493367764</c:v>
                </c:pt>
                <c:pt idx="18">
                  <c:v>32.061411225926513</c:v>
                </c:pt>
                <c:pt idx="19">
                  <c:v>34.407025478531395</c:v>
                </c:pt>
                <c:pt idx="20">
                  <c:v>36.846488851441364</c:v>
                </c:pt>
                <c:pt idx="21">
                  <c:v>39.378028905359045</c:v>
                </c:pt>
                <c:pt idx="22">
                  <c:v>42.000000000000014</c:v>
                </c:pt>
                <c:pt idx="23">
                  <c:v>44.71086821932267</c:v>
                </c:pt>
                <c:pt idx="24">
                  <c:v>47.509198734184736</c:v>
                </c:pt>
                <c:pt idx="25">
                  <c:v>50.393645113560254</c:v>
                </c:pt>
                <c:pt idx="26">
                  <c:v>53.362940210837863</c:v>
                </c:pt>
                <c:pt idx="27">
                  <c:v>56.41588833612785</c:v>
                </c:pt>
                <c:pt idx="28">
                  <c:v>59.551358488171687</c:v>
                </c:pt>
                <c:pt idx="29">
                  <c:v>62.768278466605054</c:v>
                </c:pt>
                <c:pt idx="30">
                  <c:v>66.065629721256755</c:v>
                </c:pt>
                <c:pt idx="31">
                  <c:v>69.442442822848164</c:v>
                </c:pt>
                <c:pt idx="32">
                  <c:v>72.897793461013549</c:v>
                </c:pt>
                <c:pt idx="33">
                  <c:v>76.430798892504271</c:v>
                </c:pt>
                <c:pt idx="34">
                  <c:v>80.040614775877515</c:v>
                </c:pt>
                <c:pt idx="35">
                  <c:v>83.72643233971435</c:v>
                </c:pt>
                <c:pt idx="36">
                  <c:v>87.487475840070786</c:v>
                </c:pt>
                <c:pt idx="37">
                  <c:v>91.323000269891892</c:v>
                </c:pt>
                <c:pt idx="38">
                  <c:v>95.232289288861111</c:v>
                </c:pt>
                <c:pt idx="39">
                  <c:v>99.214653346874613</c:v>
                </c:pt>
                <c:pt idx="40">
                  <c:v>103.2694279782381</c:v>
                </c:pt>
                <c:pt idx="41">
                  <c:v>107.39597224692686</c:v>
                </c:pt>
                <c:pt idx="42">
                  <c:v>111.59366732596477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BB-44DB-9E18-40C276810B12}"/>
            </c:ext>
          </c:extLst>
        </c:ser>
        <c:ser>
          <c:idx val="1"/>
          <c:order val="1"/>
          <c:spPr>
            <a:ln>
              <a:solidFill>
                <a:srgbClr val="EEECE1">
                  <a:lumMod val="50000"/>
                </a:srgbClr>
              </a:solidFill>
              <a:prstDash val="lg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Sheet1!$AK$4:$AK$46</c:f>
              <c:numCache>
                <c:formatCode>General</c:formatCode>
                <c:ptCount val="43"/>
                <c:pt idx="0">
                  <c:v>10.00032</c:v>
                </c:pt>
                <c:pt idx="1">
                  <c:v>10.004678428381141</c:v>
                </c:pt>
                <c:pt idx="2">
                  <c:v>10.01485308426756</c:v>
                </c:pt>
                <c:pt idx="3">
                  <c:v>10.217153409327592</c:v>
                </c:pt>
                <c:pt idx="4">
                  <c:v>10.689419100810204</c:v>
                </c:pt>
                <c:pt idx="5">
                  <c:v>11.355091881588681</c:v>
                </c:pt>
                <c:pt idx="6">
                  <c:v>12.188769211746173</c:v>
                </c:pt>
                <c:pt idx="7">
                  <c:v>13.1748021039364</c:v>
                </c:pt>
                <c:pt idx="8">
                  <c:v>14.302148556694879</c:v>
                </c:pt>
                <c:pt idx="9">
                  <c:v>15.562414974923911</c:v>
                </c:pt>
                <c:pt idx="10">
                  <c:v>16.948909098482961</c:v>
                </c:pt>
                <c:pt idx="11">
                  <c:v>18.456114104924747</c:v>
                </c:pt>
                <c:pt idx="12">
                  <c:v>20.079368399158994</c:v>
                </c:pt>
                <c:pt idx="13">
                  <c:v>21.814657262472373</c:v>
                </c:pt>
                <c:pt idx="14">
                  <c:v>23.658470289241855</c:v>
                </c:pt>
                <c:pt idx="15">
                  <c:v>25.607699902533618</c:v>
                </c:pt>
                <c:pt idx="16">
                  <c:v>27.659566765355763</c:v>
                </c:pt>
                <c:pt idx="17">
                  <c:v>29.811563493367764</c:v>
                </c:pt>
                <c:pt idx="18">
                  <c:v>32.061411225926513</c:v>
                </c:pt>
                <c:pt idx="19">
                  <c:v>34.407025478531395</c:v>
                </c:pt>
                <c:pt idx="20">
                  <c:v>36.846488851441364</c:v>
                </c:pt>
                <c:pt idx="21">
                  <c:v>39.378028905359045</c:v>
                </c:pt>
                <c:pt idx="22">
                  <c:v>42.000000000000014</c:v>
                </c:pt>
                <c:pt idx="23">
                  <c:v>44.71086821932267</c:v>
                </c:pt>
                <c:pt idx="24">
                  <c:v>47.509198734184736</c:v>
                </c:pt>
                <c:pt idx="25">
                  <c:v>50.393645113560254</c:v>
                </c:pt>
                <c:pt idx="26">
                  <c:v>53.362940210837863</c:v>
                </c:pt>
                <c:pt idx="27">
                  <c:v>56.41588833612785</c:v>
                </c:pt>
                <c:pt idx="28">
                  <c:v>59.551358488171687</c:v>
                </c:pt>
                <c:pt idx="29">
                  <c:v>62.768278466605054</c:v>
                </c:pt>
                <c:pt idx="30">
                  <c:v>66.065629721256755</c:v>
                </c:pt>
                <c:pt idx="31">
                  <c:v>69.442442822848164</c:v>
                </c:pt>
                <c:pt idx="32">
                  <c:v>72.897793461013549</c:v>
                </c:pt>
                <c:pt idx="33">
                  <c:v>76.430798892504271</c:v>
                </c:pt>
                <c:pt idx="34">
                  <c:v>80.040614775877515</c:v>
                </c:pt>
                <c:pt idx="35">
                  <c:v>83.72643233971435</c:v>
                </c:pt>
                <c:pt idx="36">
                  <c:v>87.487475840070786</c:v>
                </c:pt>
                <c:pt idx="37">
                  <c:v>91.323000269891892</c:v>
                </c:pt>
                <c:pt idx="38">
                  <c:v>95.232289288861111</c:v>
                </c:pt>
                <c:pt idx="39">
                  <c:v>99.214653346874613</c:v>
                </c:pt>
                <c:pt idx="40">
                  <c:v>103.2694279782381</c:v>
                </c:pt>
                <c:pt idx="41">
                  <c:v>107.39597224692686</c:v>
                </c:pt>
                <c:pt idx="42">
                  <c:v>111.59366732596477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BB-44DB-9E18-40C276810B12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Sheet1!$AN$4:$AN$46</c:f>
              <c:numCache>
                <c:formatCode>General</c:formatCode>
                <c:ptCount val="43"/>
                <c:pt idx="0">
                  <c:v>0.39810717055349715</c:v>
                </c:pt>
                <c:pt idx="1">
                  <c:v>1.1640724284081607</c:v>
                </c:pt>
                <c:pt idx="2">
                  <c:v>1.8478497974222907</c:v>
                </c:pt>
                <c:pt idx="3">
                  <c:v>5.403145585215829</c:v>
                </c:pt>
                <c:pt idx="4">
                  <c:v>8.5769589859089397</c:v>
                </c:pt>
                <c:pt idx="5">
                  <c:v>11.238995725401761</c:v>
                </c:pt>
                <c:pt idx="6">
                  <c:v>13.615073716919957</c:v>
                </c:pt>
                <c:pt idx="7">
                  <c:v>15.798893533317624</c:v>
                </c:pt>
                <c:pt idx="8">
                  <c:v>17.840793637568851</c:v>
                </c:pt>
                <c:pt idx="9">
                  <c:v>19.7717614920657</c:v>
                </c:pt>
                <c:pt idx="10">
                  <c:v>21.61258234086332</c:v>
                </c:pt>
                <c:pt idx="11">
                  <c:v>23.378053195757701</c:v>
                </c:pt>
                <c:pt idx="12">
                  <c:v>25.07918021472198</c:v>
                </c:pt>
                <c:pt idx="13">
                  <c:v>26.724430533080678</c:v>
                </c:pt>
                <c:pt idx="14">
                  <c:v>28.32049458822436</c:v>
                </c:pt>
                <c:pt idx="15">
                  <c:v>29.872775226181474</c:v>
                </c:pt>
                <c:pt idx="16">
                  <c:v>31.385714991769426</c:v>
                </c:pt>
                <c:pt idx="17">
                  <c:v>32.863022860773327</c:v>
                </c:pt>
                <c:pt idx="18">
                  <c:v>34.307835943635773</c:v>
                </c:pt>
                <c:pt idx="19">
                  <c:v>35.722837701783995</c:v>
                </c:pt>
                <c:pt idx="20">
                  <c:v>37.110346235914307</c:v>
                </c:pt>
                <c:pt idx="21">
                  <c:v>38.472381460366215</c:v>
                </c:pt>
                <c:pt idx="22">
                  <c:v>39.810717055349727</c:v>
                </c:pt>
                <c:pt idx="23">
                  <c:v>41.126921232886438</c:v>
                </c:pt>
                <c:pt idx="24">
                  <c:v>42.422389141463334</c:v>
                </c:pt>
                <c:pt idx="25">
                  <c:v>43.698368925275986</c:v>
                </c:pt>
                <c:pt idx="26">
                  <c:v>44.955982901607058</c:v>
                </c:pt>
                <c:pt idx="27">
                  <c:v>46.196244935557282</c:v>
                </c:pt>
                <c:pt idx="28">
                  <c:v>47.420074819250047</c:v>
                </c:pt>
                <c:pt idx="29">
                  <c:v>48.628310266942478</c:v>
                </c:pt>
                <c:pt idx="30">
                  <c:v>49.821716994708879</c:v>
                </c:pt>
                <c:pt idx="31">
                  <c:v>51.000997247827833</c:v>
                </c:pt>
                <c:pt idx="32">
                  <c:v>52.166797060046569</c:v>
                </c:pt>
                <c:pt idx="33">
                  <c:v>53.319712469159796</c:v>
                </c:pt>
                <c:pt idx="34">
                  <c:v>54.460294867679821</c:v>
                </c:pt>
                <c:pt idx="35">
                  <c:v>55.589055632135484</c:v>
                </c:pt>
                <c:pt idx="36">
                  <c:v>56.706470147101172</c:v>
                </c:pt>
                <c:pt idx="37">
                  <c:v>57.812981318514183</c:v>
                </c:pt>
                <c:pt idx="38">
                  <c:v>58.909002653794502</c:v>
                </c:pt>
                <c:pt idx="39">
                  <c:v>59.994920972694807</c:v>
                </c:pt>
                <c:pt idx="40">
                  <c:v>61.071098801907183</c:v>
                </c:pt>
                <c:pt idx="41">
                  <c:v>62.13787649764577</c:v>
                </c:pt>
                <c:pt idx="42">
                  <c:v>63.195574133270497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BB-44DB-9E18-40C276810B12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Sheet1!$AO$4:$AO$46</c:f>
              <c:numCache>
                <c:formatCode>General</c:formatCode>
                <c:ptCount val="43"/>
                <c:pt idx="0">
                  <c:v>0.39810717055349715</c:v>
                </c:pt>
                <c:pt idx="1">
                  <c:v>1.1640724284081607</c:v>
                </c:pt>
                <c:pt idx="2">
                  <c:v>1.8478497974222907</c:v>
                </c:pt>
                <c:pt idx="3">
                  <c:v>5.403145585215829</c:v>
                </c:pt>
                <c:pt idx="4">
                  <c:v>8.5769589859089397</c:v>
                </c:pt>
                <c:pt idx="5">
                  <c:v>11.238995725401761</c:v>
                </c:pt>
                <c:pt idx="6">
                  <c:v>13.615073716919957</c:v>
                </c:pt>
                <c:pt idx="7">
                  <c:v>15.798893533317624</c:v>
                </c:pt>
                <c:pt idx="8">
                  <c:v>17.840793637568851</c:v>
                </c:pt>
                <c:pt idx="9">
                  <c:v>19.7717614920657</c:v>
                </c:pt>
                <c:pt idx="10">
                  <c:v>21.61258234086332</c:v>
                </c:pt>
                <c:pt idx="11">
                  <c:v>23.378053195757701</c:v>
                </c:pt>
                <c:pt idx="12">
                  <c:v>25.07918021472198</c:v>
                </c:pt>
                <c:pt idx="13">
                  <c:v>26.724430533080678</c:v>
                </c:pt>
                <c:pt idx="14">
                  <c:v>28.32049458822436</c:v>
                </c:pt>
                <c:pt idx="15">
                  <c:v>29.872775226181474</c:v>
                </c:pt>
                <c:pt idx="16">
                  <c:v>31.385714991769426</c:v>
                </c:pt>
                <c:pt idx="17">
                  <c:v>32.863022860773327</c:v>
                </c:pt>
                <c:pt idx="18">
                  <c:v>34.307835943635773</c:v>
                </c:pt>
                <c:pt idx="19">
                  <c:v>35.722837701783995</c:v>
                </c:pt>
                <c:pt idx="20">
                  <c:v>37.110346235914307</c:v>
                </c:pt>
                <c:pt idx="21">
                  <c:v>38.472381460366215</c:v>
                </c:pt>
                <c:pt idx="22">
                  <c:v>39.810717055349727</c:v>
                </c:pt>
                <c:pt idx="23">
                  <c:v>41.126921232886438</c:v>
                </c:pt>
                <c:pt idx="24">
                  <c:v>42.422389141463334</c:v>
                </c:pt>
                <c:pt idx="25">
                  <c:v>43.698368925275986</c:v>
                </c:pt>
                <c:pt idx="26">
                  <c:v>44.955982901607058</c:v>
                </c:pt>
                <c:pt idx="27">
                  <c:v>46.196244935557282</c:v>
                </c:pt>
                <c:pt idx="28">
                  <c:v>47.420074819250047</c:v>
                </c:pt>
                <c:pt idx="29">
                  <c:v>48.628310266942478</c:v>
                </c:pt>
                <c:pt idx="30">
                  <c:v>49.821716994708879</c:v>
                </c:pt>
                <c:pt idx="31">
                  <c:v>51.000997247827833</c:v>
                </c:pt>
                <c:pt idx="32">
                  <c:v>52.166797060046569</c:v>
                </c:pt>
                <c:pt idx="33">
                  <c:v>53.319712469159796</c:v>
                </c:pt>
                <c:pt idx="34">
                  <c:v>54.460294867679821</c:v>
                </c:pt>
                <c:pt idx="35">
                  <c:v>55.589055632135484</c:v>
                </c:pt>
                <c:pt idx="36">
                  <c:v>56.706470147101172</c:v>
                </c:pt>
                <c:pt idx="37">
                  <c:v>57.812981318514183</c:v>
                </c:pt>
                <c:pt idx="38">
                  <c:v>58.909002653794502</c:v>
                </c:pt>
                <c:pt idx="39">
                  <c:v>59.994920972694807</c:v>
                </c:pt>
                <c:pt idx="40">
                  <c:v>61.071098801907183</c:v>
                </c:pt>
                <c:pt idx="41">
                  <c:v>62.13787649764577</c:v>
                </c:pt>
                <c:pt idx="42">
                  <c:v>63.195574133270497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BB-44DB-9E18-40C276810B12}"/>
            </c:ext>
          </c:extLst>
        </c:ser>
        <c:ser>
          <c:idx val="4"/>
          <c:order val="4"/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Sheet1!$AP$4:$AP$46</c:f>
              <c:numCache>
                <c:formatCode>General</c:formatCode>
                <c:ptCount val="43"/>
                <c:pt idx="0">
                  <c:v>-9.6022128294465023</c:v>
                </c:pt>
                <c:pt idx="1">
                  <c:v>-8.8406059999729791</c:v>
                </c:pt>
                <c:pt idx="2">
                  <c:v>-8.1670032868452704</c:v>
                </c:pt>
                <c:pt idx="3">
                  <c:v>-4.814007824111763</c:v>
                </c:pt>
                <c:pt idx="4">
                  <c:v>-2.1124601149012641</c:v>
                </c:pt>
                <c:pt idx="5">
                  <c:v>-0.11609615618692004</c:v>
                </c:pt>
                <c:pt idx="6">
                  <c:v>1.4263045051737837</c:v>
                </c:pt>
                <c:pt idx="7">
                  <c:v>2.6240914293812239</c:v>
                </c:pt>
                <c:pt idx="8">
                  <c:v>3.5386450808739713</c:v>
                </c:pt>
                <c:pt idx="9">
                  <c:v>4.209346517141789</c:v>
                </c:pt>
                <c:pt idx="10">
                  <c:v>4.6636732423803586</c:v>
                </c:pt>
                <c:pt idx="11">
                  <c:v>4.9219390908329537</c:v>
                </c:pt>
                <c:pt idx="12">
                  <c:v>4.9998118155629854</c:v>
                </c:pt>
                <c:pt idx="13">
                  <c:v>4.909773270608305</c:v>
                </c:pt>
                <c:pt idx="14">
                  <c:v>4.6620242989825051</c:v>
                </c:pt>
                <c:pt idx="15">
                  <c:v>4.2650753236478565</c:v>
                </c:pt>
                <c:pt idx="16">
                  <c:v>3.7261482264136632</c:v>
                </c:pt>
                <c:pt idx="17">
                  <c:v>3.0514593674055632</c:v>
                </c:pt>
                <c:pt idx="18">
                  <c:v>2.2464247177092602</c:v>
                </c:pt>
                <c:pt idx="19">
                  <c:v>1.3158122232525997</c:v>
                </c:pt>
                <c:pt idx="20">
                  <c:v>0.26385738447294216</c:v>
                </c:pt>
                <c:pt idx="21">
                  <c:v>-0.90564744499283023</c:v>
                </c:pt>
                <c:pt idx="22">
                  <c:v>-2.1892829446502873</c:v>
                </c:pt>
                <c:pt idx="23">
                  <c:v>-3.5839469864362314</c:v>
                </c:pt>
                <c:pt idx="24">
                  <c:v>-5.0868095927214014</c:v>
                </c:pt>
                <c:pt idx="25">
                  <c:v>-6.695276188284268</c:v>
                </c:pt>
                <c:pt idx="26">
                  <c:v>-8.4069573092308048</c:v>
                </c:pt>
                <c:pt idx="27">
                  <c:v>-10.219643400570568</c:v>
                </c:pt>
                <c:pt idx="28">
                  <c:v>-12.13128366892164</c:v>
                </c:pt>
                <c:pt idx="29">
                  <c:v>-14.139968199662576</c:v>
                </c:pt>
                <c:pt idx="30">
                  <c:v>-16.243912726547876</c:v>
                </c:pt>
                <c:pt idx="31">
                  <c:v>-18.441445575020332</c:v>
                </c:pt>
                <c:pt idx="32">
                  <c:v>-20.73099640096698</c:v>
                </c:pt>
                <c:pt idx="33">
                  <c:v>-23.111086423344474</c:v>
                </c:pt>
                <c:pt idx="34">
                  <c:v>-25.580319908197694</c:v>
                </c:pt>
                <c:pt idx="35">
                  <c:v>-28.137376707578866</c:v>
                </c:pt>
                <c:pt idx="36">
                  <c:v>-30.781005692969615</c:v>
                </c:pt>
                <c:pt idx="37">
                  <c:v>-33.51001895137771</c:v>
                </c:pt>
                <c:pt idx="38">
                  <c:v>-36.323286635066609</c:v>
                </c:pt>
                <c:pt idx="39">
                  <c:v>-39.219732374179806</c:v>
                </c:pt>
                <c:pt idx="40">
                  <c:v>-42.198329176330915</c:v>
                </c:pt>
                <c:pt idx="41">
                  <c:v>-45.25809574928109</c:v>
                </c:pt>
                <c:pt idx="42">
                  <c:v>-48.398093192694276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BB-44DB-9E18-40C276810B12}"/>
            </c:ext>
          </c:extLst>
        </c:ser>
        <c:ser>
          <c:idx val="5"/>
          <c:order val="5"/>
          <c:spPr>
            <a:ln>
              <a:solidFill>
                <a:srgbClr val="4BACC6">
                  <a:lumMod val="75000"/>
                </a:srgbClr>
              </a:solidFill>
              <a:prstDash val="lg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Sheet1!$AQ$4:$AQ$46</c:f>
              <c:numCache>
                <c:formatCode>General</c:formatCode>
                <c:ptCount val="43"/>
                <c:pt idx="0">
                  <c:v>-9.6022128294465023</c:v>
                </c:pt>
                <c:pt idx="1">
                  <c:v>-8.8406059999729791</c:v>
                </c:pt>
                <c:pt idx="2">
                  <c:v>-8.1670032868452704</c:v>
                </c:pt>
                <c:pt idx="3">
                  <c:v>-4.814007824111763</c:v>
                </c:pt>
                <c:pt idx="4">
                  <c:v>-2.1124601149012641</c:v>
                </c:pt>
                <c:pt idx="5">
                  <c:v>-0.11609615618692004</c:v>
                </c:pt>
                <c:pt idx="6">
                  <c:v>1.4263045051737837</c:v>
                </c:pt>
                <c:pt idx="7">
                  <c:v>2.6240914293812239</c:v>
                </c:pt>
                <c:pt idx="8">
                  <c:v>3.5386450808739713</c:v>
                </c:pt>
                <c:pt idx="9">
                  <c:v>4.209346517141789</c:v>
                </c:pt>
                <c:pt idx="10">
                  <c:v>4.6636732423803586</c:v>
                </c:pt>
                <c:pt idx="11">
                  <c:v>4.9219390908329537</c:v>
                </c:pt>
                <c:pt idx="12">
                  <c:v>4.9998118155629854</c:v>
                </c:pt>
                <c:pt idx="13">
                  <c:v>4.909773270608305</c:v>
                </c:pt>
                <c:pt idx="14">
                  <c:v>4.6620242989825051</c:v>
                </c:pt>
                <c:pt idx="15">
                  <c:v>4.2650753236478565</c:v>
                </c:pt>
                <c:pt idx="16">
                  <c:v>3.7261482264136632</c:v>
                </c:pt>
                <c:pt idx="17">
                  <c:v>3.0514593674055632</c:v>
                </c:pt>
                <c:pt idx="18">
                  <c:v>2.2464247177092602</c:v>
                </c:pt>
                <c:pt idx="19">
                  <c:v>1.3158122232525997</c:v>
                </c:pt>
                <c:pt idx="20">
                  <c:v>0.26385738447294216</c:v>
                </c:pt>
                <c:pt idx="21">
                  <c:v>-0.90564744499283023</c:v>
                </c:pt>
                <c:pt idx="22">
                  <c:v>-2.1892829446502873</c:v>
                </c:pt>
                <c:pt idx="23">
                  <c:v>-3.5839469864362314</c:v>
                </c:pt>
                <c:pt idx="24">
                  <c:v>-5.0868095927214014</c:v>
                </c:pt>
                <c:pt idx="25">
                  <c:v>-6.695276188284268</c:v>
                </c:pt>
                <c:pt idx="26">
                  <c:v>-8.4069573092308048</c:v>
                </c:pt>
                <c:pt idx="27">
                  <c:v>-10.219643400570568</c:v>
                </c:pt>
                <c:pt idx="28">
                  <c:v>-12.13128366892164</c:v>
                </c:pt>
                <c:pt idx="29">
                  <c:v>-14.139968199662576</c:v>
                </c:pt>
                <c:pt idx="30">
                  <c:v>-16.243912726547876</c:v>
                </c:pt>
                <c:pt idx="31">
                  <c:v>-18.441445575020332</c:v>
                </c:pt>
                <c:pt idx="32">
                  <c:v>-20.73099640096698</c:v>
                </c:pt>
                <c:pt idx="33">
                  <c:v>-23.111086423344474</c:v>
                </c:pt>
                <c:pt idx="34">
                  <c:v>-25.580319908197694</c:v>
                </c:pt>
                <c:pt idx="35">
                  <c:v>-28.137376707578866</c:v>
                </c:pt>
                <c:pt idx="36">
                  <c:v>-30.781005692969615</c:v>
                </c:pt>
                <c:pt idx="37">
                  <c:v>-33.51001895137771</c:v>
                </c:pt>
                <c:pt idx="38">
                  <c:v>-36.323286635066609</c:v>
                </c:pt>
                <c:pt idx="39">
                  <c:v>-39.219732374179806</c:v>
                </c:pt>
                <c:pt idx="40">
                  <c:v>-42.198329176330915</c:v>
                </c:pt>
                <c:pt idx="41">
                  <c:v>-45.25809574928109</c:v>
                </c:pt>
                <c:pt idx="42">
                  <c:v>-48.398093192694276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BB-44DB-9E18-40C276810B12}"/>
            </c:ext>
          </c:extLst>
        </c:ser>
        <c:ser>
          <c:idx val="6"/>
          <c:order val="6"/>
          <c:tx>
            <c:v>TR0</c:v>
          </c:tx>
          <c:spPr>
            <a:ln>
              <a:solidFill>
                <a:prstClr val="black"/>
              </a:solidFill>
            </a:ln>
          </c:spPr>
          <c:marker>
            <c:symbol val="squar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Sheet1!$AU$4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6BB-44DB-9E18-40C276810B12}"/>
            </c:ext>
          </c:extLst>
        </c:ser>
        <c:ser>
          <c:idx val="7"/>
          <c:order val="7"/>
          <c:tx>
            <c:v>TR1</c:v>
          </c:tx>
          <c:spPr>
            <a:ln>
              <a:noFill/>
            </a:ln>
          </c:spPr>
          <c:marker>
            <c:symbol val="circl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Sheet1!$AV$4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6BB-44DB-9E18-40C276810B12}"/>
            </c:ext>
          </c:extLst>
        </c:ser>
        <c:ser>
          <c:idx val="8"/>
          <c:order val="8"/>
          <c:tx>
            <c:v>C0</c:v>
          </c:tx>
          <c:spPr>
            <a:ln>
              <a:noFill/>
            </a:ln>
          </c:spPr>
          <c:marker>
            <c:symbol val="squar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Sheet1!$AW$4</c:f>
              <c:numCache>
                <c:formatCode>General</c:formatCode>
                <c:ptCount val="1"/>
                <c:pt idx="0">
                  <c:v>20.000000000000004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6BB-44DB-9E18-40C276810B12}"/>
            </c:ext>
          </c:extLst>
        </c:ser>
        <c:ser>
          <c:idx val="9"/>
          <c:order val="9"/>
          <c:tx>
            <c:v>C1</c:v>
          </c:tx>
          <c:spPr>
            <a:ln>
              <a:noFill/>
            </a:ln>
          </c:spPr>
          <c:marker>
            <c:symbol val="circl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Sheet1!$AX$4</c:f>
              <c:numCache>
                <c:formatCode>General</c:formatCode>
                <c:ptCount val="1"/>
                <c:pt idx="0">
                  <c:v>20.000000000000004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6BB-44DB-9E18-40C276810B12}"/>
            </c:ext>
          </c:extLst>
        </c:ser>
        <c:ser>
          <c:idx val="10"/>
          <c:order val="10"/>
          <c:tx>
            <c:v>profit0</c:v>
          </c:tx>
          <c:spPr>
            <a:ln>
              <a:solidFill>
                <a:prstClr val="black"/>
              </a:solidFill>
            </a:ln>
          </c:spPr>
          <c:marker>
            <c:symbol val="squar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Sheet1!$AY$4</c:f>
              <c:numCache>
                <c:formatCode>General</c:formatCode>
                <c:ptCount val="1"/>
                <c:pt idx="0">
                  <c:v>4.9999999999999964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6BB-44DB-9E18-40C276810B12}"/>
            </c:ext>
          </c:extLst>
        </c:ser>
        <c:ser>
          <c:idx val="11"/>
          <c:order val="11"/>
          <c:tx>
            <c:v>profit1</c:v>
          </c:tx>
          <c:spPr>
            <a:ln>
              <a:noFill/>
            </a:ln>
          </c:spPr>
          <c:marker>
            <c:symbol val="circl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Sheet1!$AZ$4</c:f>
              <c:numCache>
                <c:formatCode>General</c:formatCode>
                <c:ptCount val="1"/>
                <c:pt idx="0">
                  <c:v>4.9999999999999964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6BB-44DB-9E18-40C276810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794560"/>
        <c:axId val="1824793472"/>
      </c:scatterChart>
      <c:valAx>
        <c:axId val="1824794560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24793472"/>
        <c:crosses val="autoZero"/>
        <c:crossBetween val="midCat"/>
      </c:valAx>
      <c:valAx>
        <c:axId val="1824793472"/>
        <c:scaling>
          <c:orientation val="minMax"/>
          <c:max val="75"/>
          <c:min val="-2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Revenue, Cost &amp; Profit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24794560"/>
        <c:crosses val="autoZero"/>
        <c:crossBetween val="midCat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11E-2"/>
          <c:w val="0.8329651424171558"/>
          <c:h val="0.78459597036722351"/>
        </c:manualLayout>
      </c:layout>
      <c:scatterChart>
        <c:scatterStyle val="smoothMarker"/>
        <c:varyColors val="0"/>
        <c:ser>
          <c:idx val="1"/>
          <c:order val="0"/>
          <c:spPr>
            <a:ln>
              <a:solidFill>
                <a:schemeClr val="accent3">
                  <a:lumMod val="7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Sheet1!$X$4:$X$46</c:f>
              <c:numCache>
                <c:formatCode>General</c:formatCode>
                <c:ptCount val="43"/>
                <c:pt idx="0">
                  <c:v>250000</c:v>
                </c:pt>
                <c:pt idx="1">
                  <c:v>50000</c:v>
                </c:pt>
                <c:pt idx="2">
                  <c:v>25000</c:v>
                </c:pt>
                <c:pt idx="3">
                  <c:v>5000</c:v>
                </c:pt>
                <c:pt idx="4">
                  <c:v>2500</c:v>
                </c:pt>
                <c:pt idx="5">
                  <c:v>1666.6666666666667</c:v>
                </c:pt>
                <c:pt idx="6">
                  <c:v>1250</c:v>
                </c:pt>
                <c:pt idx="7">
                  <c:v>1000</c:v>
                </c:pt>
                <c:pt idx="8">
                  <c:v>833.33333333333337</c:v>
                </c:pt>
                <c:pt idx="9">
                  <c:v>714.28571428571433</c:v>
                </c:pt>
                <c:pt idx="10">
                  <c:v>625</c:v>
                </c:pt>
                <c:pt idx="11">
                  <c:v>555.55555555555554</c:v>
                </c:pt>
                <c:pt idx="12">
                  <c:v>500</c:v>
                </c:pt>
                <c:pt idx="13">
                  <c:v>454.54545454545456</c:v>
                </c:pt>
                <c:pt idx="14">
                  <c:v>416.66666666666669</c:v>
                </c:pt>
                <c:pt idx="15">
                  <c:v>384.61538461538464</c:v>
                </c:pt>
                <c:pt idx="16">
                  <c:v>357.14285714285717</c:v>
                </c:pt>
                <c:pt idx="17">
                  <c:v>333.33333333333337</c:v>
                </c:pt>
                <c:pt idx="18">
                  <c:v>312.5</c:v>
                </c:pt>
                <c:pt idx="19">
                  <c:v>294.11764705882354</c:v>
                </c:pt>
                <c:pt idx="20">
                  <c:v>277.77777777777777</c:v>
                </c:pt>
                <c:pt idx="21">
                  <c:v>263.15789473684214</c:v>
                </c:pt>
                <c:pt idx="22">
                  <c:v>250</c:v>
                </c:pt>
                <c:pt idx="23">
                  <c:v>238.0952380952381</c:v>
                </c:pt>
                <c:pt idx="24">
                  <c:v>227.27272727272728</c:v>
                </c:pt>
                <c:pt idx="25">
                  <c:v>217.39130434782606</c:v>
                </c:pt>
                <c:pt idx="26">
                  <c:v>208.33333333333334</c:v>
                </c:pt>
                <c:pt idx="27">
                  <c:v>200</c:v>
                </c:pt>
                <c:pt idx="28">
                  <c:v>192.30769230769232</c:v>
                </c:pt>
                <c:pt idx="29">
                  <c:v>185.18518518518519</c:v>
                </c:pt>
                <c:pt idx="30">
                  <c:v>178.57142857142858</c:v>
                </c:pt>
                <c:pt idx="31">
                  <c:v>172.41379310344826</c:v>
                </c:pt>
                <c:pt idx="32">
                  <c:v>166.66666666666669</c:v>
                </c:pt>
                <c:pt idx="33">
                  <c:v>161.29032258064515</c:v>
                </c:pt>
                <c:pt idx="34">
                  <c:v>156.25</c:v>
                </c:pt>
                <c:pt idx="35">
                  <c:v>151.5151515151515</c:v>
                </c:pt>
                <c:pt idx="36">
                  <c:v>147.05882352941177</c:v>
                </c:pt>
                <c:pt idx="37">
                  <c:v>142.85714285714286</c:v>
                </c:pt>
                <c:pt idx="38">
                  <c:v>138.88888888888889</c:v>
                </c:pt>
                <c:pt idx="39">
                  <c:v>135.13513513513513</c:v>
                </c:pt>
                <c:pt idx="40">
                  <c:v>131.57894736842107</c:v>
                </c:pt>
                <c:pt idx="41">
                  <c:v>128.2051282051282</c:v>
                </c:pt>
                <c:pt idx="42">
                  <c:v>125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D8-4C80-910E-87B889E4F3C0}"/>
            </c:ext>
          </c:extLst>
        </c:ser>
        <c:ser>
          <c:idx val="7"/>
          <c:order val="1"/>
          <c:spPr>
            <a:ln>
              <a:solidFill>
                <a:prstClr val="black">
                  <a:lumMod val="50000"/>
                  <a:lumOff val="50000"/>
                </a:prstClr>
              </a:solidFill>
              <a:prstDash val="lgDash"/>
            </a:ln>
          </c:spPr>
          <c:marker>
            <c:symbol val="none"/>
          </c:marker>
          <c:xVal>
            <c:numRef>
              <c:f>Sheet1!$AI$4:$AI$46</c:f>
              <c:numCache>
                <c:formatCode>General</c:formatCode>
                <c:ptCount val="43"/>
                <c:pt idx="0">
                  <c:v>7.9999999999999991</c:v>
                </c:pt>
                <c:pt idx="1">
                  <c:v>23.392141905702928</c:v>
                </c:pt>
                <c:pt idx="2">
                  <c:v>37.132710668902227</c:v>
                </c:pt>
                <c:pt idx="3">
                  <c:v>108.57670466379625</c:v>
                </c:pt>
                <c:pt idx="4">
                  <c:v>172.35477520255068</c:v>
                </c:pt>
                <c:pt idx="5">
                  <c:v>225.84864693144686</c:v>
                </c:pt>
                <c:pt idx="6">
                  <c:v>273.59615146827161</c:v>
                </c:pt>
                <c:pt idx="7">
                  <c:v>317.48021039363994</c:v>
                </c:pt>
                <c:pt idx="8">
                  <c:v>358.51237972457318</c:v>
                </c:pt>
                <c:pt idx="9">
                  <c:v>397.31535535170758</c:v>
                </c:pt>
                <c:pt idx="10">
                  <c:v>434.30681865518511</c:v>
                </c:pt>
                <c:pt idx="11">
                  <c:v>469.78411694026363</c:v>
                </c:pt>
                <c:pt idx="12">
                  <c:v>503.96841995794938</c:v>
                </c:pt>
                <c:pt idx="13">
                  <c:v>537.02987556692563</c:v>
                </c:pt>
                <c:pt idx="14">
                  <c:v>569.10292871841023</c:v>
                </c:pt>
                <c:pt idx="15">
                  <c:v>600.29615009744623</c:v>
                </c:pt>
                <c:pt idx="16">
                  <c:v>630.69881304841954</c:v>
                </c:pt>
                <c:pt idx="17">
                  <c:v>660.38544977892548</c:v>
                </c:pt>
                <c:pt idx="18">
                  <c:v>689.41910081020308</c:v>
                </c:pt>
                <c:pt idx="19">
                  <c:v>717.85369054504088</c:v>
                </c:pt>
                <c:pt idx="20">
                  <c:v>745.73580142892627</c:v>
                </c:pt>
                <c:pt idx="21">
                  <c:v>773.10602382523712</c:v>
                </c:pt>
                <c:pt idx="22">
                  <c:v>800.00000000000023</c:v>
                </c:pt>
                <c:pt idx="23">
                  <c:v>826.44924331720574</c:v>
                </c:pt>
                <c:pt idx="24">
                  <c:v>852.48178941328888</c:v>
                </c:pt>
                <c:pt idx="25">
                  <c:v>878.12271986000519</c:v>
                </c:pt>
                <c:pt idx="26">
                  <c:v>903.3945877257878</c:v>
                </c:pt>
                <c:pt idx="27">
                  <c:v>928.31776672255603</c:v>
                </c:pt>
                <c:pt idx="28">
                  <c:v>952.91074015714662</c:v>
                </c:pt>
                <c:pt idx="29">
                  <c:v>977.1903419741667</c:v>
                </c:pt>
                <c:pt idx="30">
                  <c:v>1001.171959308156</c:v>
                </c:pt>
                <c:pt idx="31">
                  <c:v>1024.8697038422097</c:v>
                </c:pt>
                <c:pt idx="32">
                  <c:v>1048.2965576835588</c:v>
                </c:pt>
                <c:pt idx="33">
                  <c:v>1071.4644982661976</c:v>
                </c:pt>
                <c:pt idx="34">
                  <c:v>1094.3846058730862</c:v>
                </c:pt>
                <c:pt idx="35">
                  <c:v>1117.0671566623387</c:v>
                </c:pt>
                <c:pt idx="36">
                  <c:v>1139.521703530452</c:v>
                </c:pt>
                <c:pt idx="37">
                  <c:v>1161.7571467127411</c:v>
                </c:pt>
                <c:pt idx="38">
                  <c:v>1183.7817956786262</c:v>
                </c:pt>
                <c:pt idx="39">
                  <c:v>1205.6034236064131</c:v>
                </c:pt>
                <c:pt idx="40">
                  <c:v>1227.2293155031332</c:v>
                </c:pt>
                <c:pt idx="41">
                  <c:v>1248.6663108580358</c:v>
                </c:pt>
                <c:pt idx="42">
                  <c:v>1269.9208415745597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D8-4C80-910E-87B889E4F3C0}"/>
            </c:ext>
          </c:extLst>
        </c:ser>
        <c:ser>
          <c:idx val="6"/>
          <c:order val="2"/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xVal>
            <c:numRef>
              <c:f>Sheet1!$AH$4:$AH$46</c:f>
              <c:numCache>
                <c:formatCode>General</c:formatCode>
                <c:ptCount val="43"/>
                <c:pt idx="0">
                  <c:v>7.9999999999999991</c:v>
                </c:pt>
                <c:pt idx="1">
                  <c:v>23.392141905702928</c:v>
                </c:pt>
                <c:pt idx="2">
                  <c:v>37.132710668902227</c:v>
                </c:pt>
                <c:pt idx="3">
                  <c:v>108.57670466379625</c:v>
                </c:pt>
                <c:pt idx="4">
                  <c:v>172.35477520255068</c:v>
                </c:pt>
                <c:pt idx="5">
                  <c:v>225.84864693144686</c:v>
                </c:pt>
                <c:pt idx="6">
                  <c:v>273.59615146827161</c:v>
                </c:pt>
                <c:pt idx="7">
                  <c:v>317.48021039363994</c:v>
                </c:pt>
                <c:pt idx="8">
                  <c:v>358.51237972457318</c:v>
                </c:pt>
                <c:pt idx="9">
                  <c:v>397.31535535170758</c:v>
                </c:pt>
                <c:pt idx="10">
                  <c:v>434.30681865518511</c:v>
                </c:pt>
                <c:pt idx="11">
                  <c:v>469.78411694026363</c:v>
                </c:pt>
                <c:pt idx="12">
                  <c:v>503.96841995794938</c:v>
                </c:pt>
                <c:pt idx="13">
                  <c:v>537.02987556692563</c:v>
                </c:pt>
                <c:pt idx="14">
                  <c:v>569.10292871841023</c:v>
                </c:pt>
                <c:pt idx="15">
                  <c:v>600.29615009744623</c:v>
                </c:pt>
                <c:pt idx="16">
                  <c:v>630.69881304841954</c:v>
                </c:pt>
                <c:pt idx="17">
                  <c:v>660.38544977892548</c:v>
                </c:pt>
                <c:pt idx="18">
                  <c:v>689.41910081020308</c:v>
                </c:pt>
                <c:pt idx="19">
                  <c:v>717.85369054504088</c:v>
                </c:pt>
                <c:pt idx="20">
                  <c:v>745.73580142892627</c:v>
                </c:pt>
                <c:pt idx="21">
                  <c:v>773.10602382523712</c:v>
                </c:pt>
                <c:pt idx="22">
                  <c:v>800.00000000000023</c:v>
                </c:pt>
                <c:pt idx="23">
                  <c:v>826.44924331720574</c:v>
                </c:pt>
                <c:pt idx="24">
                  <c:v>852.48178941328888</c:v>
                </c:pt>
                <c:pt idx="25">
                  <c:v>878.12271986000519</c:v>
                </c:pt>
                <c:pt idx="26">
                  <c:v>903.3945877257878</c:v>
                </c:pt>
                <c:pt idx="27">
                  <c:v>928.31776672255603</c:v>
                </c:pt>
                <c:pt idx="28">
                  <c:v>952.91074015714662</c:v>
                </c:pt>
                <c:pt idx="29">
                  <c:v>977.1903419741667</c:v>
                </c:pt>
                <c:pt idx="30">
                  <c:v>1001.171959308156</c:v>
                </c:pt>
                <c:pt idx="31">
                  <c:v>1024.8697038422097</c:v>
                </c:pt>
                <c:pt idx="32">
                  <c:v>1048.2965576835588</c:v>
                </c:pt>
                <c:pt idx="33">
                  <c:v>1071.4644982661976</c:v>
                </c:pt>
                <c:pt idx="34">
                  <c:v>1094.3846058730862</c:v>
                </c:pt>
                <c:pt idx="35">
                  <c:v>1117.0671566623387</c:v>
                </c:pt>
                <c:pt idx="36">
                  <c:v>1139.521703530452</c:v>
                </c:pt>
                <c:pt idx="37">
                  <c:v>1161.7571467127411</c:v>
                </c:pt>
                <c:pt idx="38">
                  <c:v>1183.7817956786262</c:v>
                </c:pt>
                <c:pt idx="39">
                  <c:v>1205.6034236064131</c:v>
                </c:pt>
                <c:pt idx="40">
                  <c:v>1227.2293155031332</c:v>
                </c:pt>
                <c:pt idx="41">
                  <c:v>1248.6663108580358</c:v>
                </c:pt>
                <c:pt idx="42">
                  <c:v>1269.9208415745597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D8-4C80-910E-87B889E4F3C0}"/>
            </c:ext>
          </c:extLst>
        </c:ser>
        <c:ser>
          <c:idx val="4"/>
          <c:order val="3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Sheet1!$AD$4:$AD$5</c:f>
              <c:numCache>
                <c:formatCode>General</c:formatCode>
                <c:ptCount val="2"/>
                <c:pt idx="0">
                  <c:v>502.37728630191612</c:v>
                </c:pt>
                <c:pt idx="1">
                  <c:v>502.37728630191612</c:v>
                </c:pt>
              </c:numCache>
            </c:numRef>
          </c:xVal>
          <c:yVal>
            <c:numRef>
              <c:f>Sheet1!$AC$4:$AC$5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8D8-4C80-910E-87B889E4F3C0}"/>
            </c:ext>
          </c:extLst>
        </c:ser>
        <c:ser>
          <c:idx val="0"/>
          <c:order val="4"/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Sheet1!$W$4:$W$46</c:f>
              <c:numCache>
                <c:formatCode>General</c:formatCode>
                <c:ptCount val="43"/>
                <c:pt idx="0">
                  <c:v>250000</c:v>
                </c:pt>
                <c:pt idx="1">
                  <c:v>50000</c:v>
                </c:pt>
                <c:pt idx="2">
                  <c:v>25000</c:v>
                </c:pt>
                <c:pt idx="3">
                  <c:v>5000</c:v>
                </c:pt>
                <c:pt idx="4">
                  <c:v>2500</c:v>
                </c:pt>
                <c:pt idx="5">
                  <c:v>1666.6666666666667</c:v>
                </c:pt>
                <c:pt idx="6">
                  <c:v>1250</c:v>
                </c:pt>
                <c:pt idx="7">
                  <c:v>1000</c:v>
                </c:pt>
                <c:pt idx="8">
                  <c:v>833.33333333333337</c:v>
                </c:pt>
                <c:pt idx="9">
                  <c:v>714.28571428571433</c:v>
                </c:pt>
                <c:pt idx="10">
                  <c:v>625</c:v>
                </c:pt>
                <c:pt idx="11">
                  <c:v>555.55555555555554</c:v>
                </c:pt>
                <c:pt idx="12">
                  <c:v>500</c:v>
                </c:pt>
                <c:pt idx="13">
                  <c:v>454.54545454545456</c:v>
                </c:pt>
                <c:pt idx="14">
                  <c:v>416.66666666666669</c:v>
                </c:pt>
                <c:pt idx="15">
                  <c:v>384.61538461538464</c:v>
                </c:pt>
                <c:pt idx="16">
                  <c:v>357.14285714285717</c:v>
                </c:pt>
                <c:pt idx="17">
                  <c:v>333.33333333333337</c:v>
                </c:pt>
                <c:pt idx="18">
                  <c:v>312.5</c:v>
                </c:pt>
                <c:pt idx="19">
                  <c:v>294.11764705882354</c:v>
                </c:pt>
                <c:pt idx="20">
                  <c:v>277.77777777777777</c:v>
                </c:pt>
                <c:pt idx="21">
                  <c:v>263.15789473684214</c:v>
                </c:pt>
                <c:pt idx="22">
                  <c:v>250</c:v>
                </c:pt>
                <c:pt idx="23">
                  <c:v>238.0952380952381</c:v>
                </c:pt>
                <c:pt idx="24">
                  <c:v>227.27272727272728</c:v>
                </c:pt>
                <c:pt idx="25">
                  <c:v>217.39130434782606</c:v>
                </c:pt>
                <c:pt idx="26">
                  <c:v>208.33333333333334</c:v>
                </c:pt>
                <c:pt idx="27">
                  <c:v>200</c:v>
                </c:pt>
                <c:pt idx="28">
                  <c:v>192.30769230769232</c:v>
                </c:pt>
                <c:pt idx="29">
                  <c:v>185.18518518518519</c:v>
                </c:pt>
                <c:pt idx="30">
                  <c:v>178.57142857142858</c:v>
                </c:pt>
                <c:pt idx="31">
                  <c:v>172.41379310344826</c:v>
                </c:pt>
                <c:pt idx="32">
                  <c:v>166.66666666666669</c:v>
                </c:pt>
                <c:pt idx="33">
                  <c:v>161.29032258064515</c:v>
                </c:pt>
                <c:pt idx="34">
                  <c:v>156.25</c:v>
                </c:pt>
                <c:pt idx="35">
                  <c:v>151.5151515151515</c:v>
                </c:pt>
                <c:pt idx="36">
                  <c:v>147.05882352941177</c:v>
                </c:pt>
                <c:pt idx="37">
                  <c:v>142.85714285714286</c:v>
                </c:pt>
                <c:pt idx="38">
                  <c:v>138.88888888888889</c:v>
                </c:pt>
                <c:pt idx="39">
                  <c:v>135.13513513513513</c:v>
                </c:pt>
                <c:pt idx="40">
                  <c:v>131.57894736842107</c:v>
                </c:pt>
                <c:pt idx="41">
                  <c:v>128.2051282051282</c:v>
                </c:pt>
                <c:pt idx="42">
                  <c:v>125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8D8-4C80-910E-87B889E4F3C0}"/>
            </c:ext>
          </c:extLst>
        </c:ser>
        <c:ser>
          <c:idx val="2"/>
          <c:order val="5"/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Sheet1!$D$16</c:f>
              <c:numCache>
                <c:formatCode>0.00</c:formatCode>
                <c:ptCount val="1"/>
                <c:pt idx="0">
                  <c:v>502.37728630191612</c:v>
                </c:pt>
              </c:numCache>
            </c:numRef>
          </c:xVal>
          <c:yVal>
            <c:numRef>
              <c:f>Sheet1!$D$15</c:f>
              <c:numCache>
                <c:formatCode>0.00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8D8-4C80-910E-87B889E4F3C0}"/>
            </c:ext>
          </c:extLst>
        </c:ser>
        <c:ser>
          <c:idx val="3"/>
          <c:order val="6"/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Sheet1!$E$16</c:f>
              <c:numCache>
                <c:formatCode>0.00</c:formatCode>
                <c:ptCount val="1"/>
                <c:pt idx="0">
                  <c:v>502.37728630191612</c:v>
                </c:pt>
              </c:numCache>
            </c:numRef>
          </c:xVal>
          <c:yVal>
            <c:numRef>
              <c:f>Sheet1!$E$15</c:f>
              <c:numCache>
                <c:formatCode>0.00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D8-4C80-910E-87B889E4F3C0}"/>
            </c:ext>
          </c:extLst>
        </c:ser>
        <c:ser>
          <c:idx val="5"/>
          <c:order val="7"/>
          <c:spPr>
            <a:ln w="12700">
              <a:solidFill>
                <a:prstClr val="black"/>
              </a:solidFill>
              <a:prstDash val="dash"/>
            </a:ln>
          </c:spPr>
          <c:marker>
            <c:symbol val="none"/>
          </c:marker>
          <c:xVal>
            <c:numRef>
              <c:f>Sheet1!$AE$4:$AE$5</c:f>
              <c:numCache>
                <c:formatCode>General</c:formatCode>
                <c:ptCount val="2"/>
                <c:pt idx="0">
                  <c:v>502.37728630191612</c:v>
                </c:pt>
                <c:pt idx="1">
                  <c:v>502.37728630191612</c:v>
                </c:pt>
              </c:numCache>
            </c:numRef>
          </c:xVal>
          <c:yVal>
            <c:numRef>
              <c:f>Sheet1!$AC$4:$AC$5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8D8-4C80-910E-87B889E4F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795648"/>
        <c:axId val="1824791296"/>
      </c:scatterChart>
      <c:valAx>
        <c:axId val="1824795648"/>
        <c:scaling>
          <c:orientation val="minMax"/>
          <c:max val="1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24791296"/>
        <c:crosses val="autoZero"/>
        <c:crossBetween val="midCat"/>
      </c:valAx>
      <c:valAx>
        <c:axId val="1824791296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24795648"/>
        <c:crosses val="autoZero"/>
        <c:crossBetween val="midCat"/>
      </c:valAx>
      <c:spPr>
        <a:solidFill>
          <a:schemeClr val="accent2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097E-2"/>
          <c:w val="0.8329651424171558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Sheet1!$U$4:$U$46</c:f>
              <c:numCache>
                <c:formatCode>General</c:formatCode>
                <c:ptCount val="43"/>
                <c:pt idx="0">
                  <c:v>2500</c:v>
                </c:pt>
                <c:pt idx="1">
                  <c:v>500</c:v>
                </c:pt>
                <c:pt idx="2">
                  <c:v>250</c:v>
                </c:pt>
                <c:pt idx="3">
                  <c:v>50</c:v>
                </c:pt>
                <c:pt idx="4">
                  <c:v>25</c:v>
                </c:pt>
                <c:pt idx="5">
                  <c:v>16.666666666666668</c:v>
                </c:pt>
                <c:pt idx="6">
                  <c:v>12.5</c:v>
                </c:pt>
                <c:pt idx="7">
                  <c:v>10</c:v>
                </c:pt>
                <c:pt idx="8">
                  <c:v>8.3333333333333339</c:v>
                </c:pt>
                <c:pt idx="9">
                  <c:v>7.1428571428571432</c:v>
                </c:pt>
                <c:pt idx="10">
                  <c:v>6.25</c:v>
                </c:pt>
                <c:pt idx="11">
                  <c:v>5.5555555555555554</c:v>
                </c:pt>
                <c:pt idx="12">
                  <c:v>5</c:v>
                </c:pt>
                <c:pt idx="13">
                  <c:v>4.5454545454545459</c:v>
                </c:pt>
                <c:pt idx="14">
                  <c:v>4.166666666666667</c:v>
                </c:pt>
                <c:pt idx="15">
                  <c:v>3.8461538461538463</c:v>
                </c:pt>
                <c:pt idx="16">
                  <c:v>3.5714285714285716</c:v>
                </c:pt>
                <c:pt idx="17">
                  <c:v>3.3333333333333335</c:v>
                </c:pt>
                <c:pt idx="18">
                  <c:v>3.125</c:v>
                </c:pt>
                <c:pt idx="19">
                  <c:v>2.9411764705882355</c:v>
                </c:pt>
                <c:pt idx="20">
                  <c:v>2.7777777777777777</c:v>
                </c:pt>
                <c:pt idx="21">
                  <c:v>2.6315789473684212</c:v>
                </c:pt>
                <c:pt idx="22">
                  <c:v>2.5</c:v>
                </c:pt>
                <c:pt idx="23">
                  <c:v>2.3809523809523809</c:v>
                </c:pt>
                <c:pt idx="24">
                  <c:v>2.2727272727272729</c:v>
                </c:pt>
                <c:pt idx="25">
                  <c:v>2.1739130434782608</c:v>
                </c:pt>
                <c:pt idx="26">
                  <c:v>2.0833333333333335</c:v>
                </c:pt>
                <c:pt idx="27">
                  <c:v>2</c:v>
                </c:pt>
                <c:pt idx="28">
                  <c:v>1.9230769230769231</c:v>
                </c:pt>
                <c:pt idx="29">
                  <c:v>1.8518518518518519</c:v>
                </c:pt>
                <c:pt idx="30">
                  <c:v>1.7857142857142858</c:v>
                </c:pt>
                <c:pt idx="31">
                  <c:v>1.7241379310344827</c:v>
                </c:pt>
                <c:pt idx="32">
                  <c:v>1.6666666666666667</c:v>
                </c:pt>
                <c:pt idx="33">
                  <c:v>1.6129032258064515</c:v>
                </c:pt>
                <c:pt idx="34">
                  <c:v>1.5625</c:v>
                </c:pt>
                <c:pt idx="35">
                  <c:v>1.5151515151515151</c:v>
                </c:pt>
                <c:pt idx="36">
                  <c:v>1.4705882352941178</c:v>
                </c:pt>
                <c:pt idx="37">
                  <c:v>1.4285714285714286</c:v>
                </c:pt>
                <c:pt idx="38">
                  <c:v>1.3888888888888888</c:v>
                </c:pt>
                <c:pt idx="39">
                  <c:v>1.3513513513513513</c:v>
                </c:pt>
                <c:pt idx="40">
                  <c:v>1.3157894736842106</c:v>
                </c:pt>
                <c:pt idx="41">
                  <c:v>1.2820512820512822</c:v>
                </c:pt>
                <c:pt idx="42">
                  <c:v>1.25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1C-40A8-A8E8-AE786650F99D}"/>
            </c:ext>
          </c:extLst>
        </c:ser>
        <c:ser>
          <c:idx val="1"/>
          <c:order val="1"/>
          <c:spPr>
            <a:ln>
              <a:solidFill>
                <a:schemeClr val="accent6">
                  <a:lumMod val="7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Sheet1!$V$4:$V$46</c:f>
              <c:numCache>
                <c:formatCode>General</c:formatCode>
                <c:ptCount val="43"/>
                <c:pt idx="0">
                  <c:v>2500</c:v>
                </c:pt>
                <c:pt idx="1">
                  <c:v>500</c:v>
                </c:pt>
                <c:pt idx="2">
                  <c:v>250</c:v>
                </c:pt>
                <c:pt idx="3">
                  <c:v>50</c:v>
                </c:pt>
                <c:pt idx="4">
                  <c:v>25</c:v>
                </c:pt>
                <c:pt idx="5">
                  <c:v>16.666666666666668</c:v>
                </c:pt>
                <c:pt idx="6">
                  <c:v>12.5</c:v>
                </c:pt>
                <c:pt idx="7">
                  <c:v>10</c:v>
                </c:pt>
                <c:pt idx="8">
                  <c:v>8.3333333333333339</c:v>
                </c:pt>
                <c:pt idx="9">
                  <c:v>7.1428571428571432</c:v>
                </c:pt>
                <c:pt idx="10">
                  <c:v>6.25</c:v>
                </c:pt>
                <c:pt idx="11">
                  <c:v>5.5555555555555554</c:v>
                </c:pt>
                <c:pt idx="12">
                  <c:v>5</c:v>
                </c:pt>
                <c:pt idx="13">
                  <c:v>4.5454545454545459</c:v>
                </c:pt>
                <c:pt idx="14">
                  <c:v>4.166666666666667</c:v>
                </c:pt>
                <c:pt idx="15">
                  <c:v>3.8461538461538463</c:v>
                </c:pt>
                <c:pt idx="16">
                  <c:v>3.5714285714285716</c:v>
                </c:pt>
                <c:pt idx="17">
                  <c:v>3.3333333333333335</c:v>
                </c:pt>
                <c:pt idx="18">
                  <c:v>3.125</c:v>
                </c:pt>
                <c:pt idx="19">
                  <c:v>2.9411764705882355</c:v>
                </c:pt>
                <c:pt idx="20">
                  <c:v>2.7777777777777777</c:v>
                </c:pt>
                <c:pt idx="21">
                  <c:v>2.6315789473684212</c:v>
                </c:pt>
                <c:pt idx="22">
                  <c:v>2.5</c:v>
                </c:pt>
                <c:pt idx="23">
                  <c:v>2.3809523809523809</c:v>
                </c:pt>
                <c:pt idx="24">
                  <c:v>2.2727272727272729</c:v>
                </c:pt>
                <c:pt idx="25">
                  <c:v>2.1739130434782608</c:v>
                </c:pt>
                <c:pt idx="26">
                  <c:v>2.0833333333333335</c:v>
                </c:pt>
                <c:pt idx="27">
                  <c:v>2</c:v>
                </c:pt>
                <c:pt idx="28">
                  <c:v>1.9230769230769231</c:v>
                </c:pt>
                <c:pt idx="29">
                  <c:v>1.8518518518518519</c:v>
                </c:pt>
                <c:pt idx="30">
                  <c:v>1.7857142857142858</c:v>
                </c:pt>
                <c:pt idx="31">
                  <c:v>1.7241379310344827</c:v>
                </c:pt>
                <c:pt idx="32">
                  <c:v>1.6666666666666667</c:v>
                </c:pt>
                <c:pt idx="33">
                  <c:v>1.6129032258064515</c:v>
                </c:pt>
                <c:pt idx="34">
                  <c:v>1.5625</c:v>
                </c:pt>
                <c:pt idx="35">
                  <c:v>1.5151515151515151</c:v>
                </c:pt>
                <c:pt idx="36">
                  <c:v>1.4705882352941178</c:v>
                </c:pt>
                <c:pt idx="37">
                  <c:v>1.4285714285714286</c:v>
                </c:pt>
                <c:pt idx="38">
                  <c:v>1.3888888888888888</c:v>
                </c:pt>
                <c:pt idx="39">
                  <c:v>1.3513513513513513</c:v>
                </c:pt>
                <c:pt idx="40">
                  <c:v>1.3157894736842106</c:v>
                </c:pt>
                <c:pt idx="41">
                  <c:v>1.2820512820512822</c:v>
                </c:pt>
                <c:pt idx="42">
                  <c:v>1.25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1C-40A8-A8E8-AE786650F99D}"/>
            </c:ext>
          </c:extLst>
        </c:ser>
        <c:ser>
          <c:idx val="2"/>
          <c:order val="2"/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Sheet1!$D$17</c:f>
              <c:numCache>
                <c:formatCode>0.00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Sheet1!$D$15</c:f>
              <c:numCache>
                <c:formatCode>0.00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1C-40A8-A8E8-AE786650F99D}"/>
            </c:ext>
          </c:extLst>
        </c:ser>
        <c:ser>
          <c:idx val="3"/>
          <c:order val="3"/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Sheet1!$E$17</c:f>
              <c:numCache>
                <c:formatCode>0.00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Sheet1!$E$15</c:f>
              <c:numCache>
                <c:formatCode>0.00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1C-40A8-A8E8-AE786650F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790208"/>
        <c:axId val="1824794016"/>
      </c:scatterChart>
      <c:valAx>
        <c:axId val="1824790208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24794016"/>
        <c:crosses val="autoZero"/>
        <c:crossBetween val="midCat"/>
      </c:valAx>
      <c:valAx>
        <c:axId val="1824794016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24790208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076E-2"/>
          <c:w val="0.8329651424171558"/>
          <c:h val="0.7845959703672235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Sheet1!$H$3</c:f>
              <c:strCache>
                <c:ptCount val="1"/>
                <c:pt idx="0">
                  <c:v>zu0</c:v>
                </c:pt>
              </c:strCache>
            </c:strRef>
          </c:tx>
          <c:marker>
            <c:symbol val="none"/>
          </c:marker>
          <c:xVal>
            <c:numRef>
              <c:f>Sheet1!$G$4:$G$46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xVal>
          <c:yVal>
            <c:numRef>
              <c:f>Sheet1!$H$4:$H$46</c:f>
              <c:numCache>
                <c:formatCode>General</c:formatCode>
                <c:ptCount val="43"/>
                <c:pt idx="0">
                  <c:v>12559.432157547899</c:v>
                </c:pt>
                <c:pt idx="1">
                  <c:v>2511.8864315095802</c:v>
                </c:pt>
                <c:pt idx="2">
                  <c:v>1255.9432157547901</c:v>
                </c:pt>
                <c:pt idx="3">
                  <c:v>251.188643150958</c:v>
                </c:pt>
                <c:pt idx="4">
                  <c:v>125.59432157547901</c:v>
                </c:pt>
                <c:pt idx="5">
                  <c:v>83.729547716986033</c:v>
                </c:pt>
                <c:pt idx="6">
                  <c:v>62.7971607877395</c:v>
                </c:pt>
                <c:pt idx="7">
                  <c:v>50.237728630191597</c:v>
                </c:pt>
                <c:pt idx="8">
                  <c:v>41.864773858493002</c:v>
                </c:pt>
                <c:pt idx="9">
                  <c:v>35.884091878708297</c:v>
                </c:pt>
                <c:pt idx="10">
                  <c:v>31.398580393869754</c:v>
                </c:pt>
                <c:pt idx="11">
                  <c:v>27.909849238995339</c:v>
                </c:pt>
                <c:pt idx="12">
                  <c:v>25.118864315095802</c:v>
                </c:pt>
                <c:pt idx="13">
                  <c:v>22.835331195541634</c:v>
                </c:pt>
                <c:pt idx="14">
                  <c:v>20.932386929246508</c:v>
                </c:pt>
                <c:pt idx="15">
                  <c:v>19.322203319304467</c:v>
                </c:pt>
                <c:pt idx="16">
                  <c:v>17.942045939354141</c:v>
                </c:pt>
                <c:pt idx="17">
                  <c:v>16.7459095433972</c:v>
                </c:pt>
                <c:pt idx="18">
                  <c:v>15.699290196934875</c:v>
                </c:pt>
                <c:pt idx="19">
                  <c:v>14.775802538291646</c:v>
                </c:pt>
                <c:pt idx="20">
                  <c:v>13.954924619497669</c:v>
                </c:pt>
                <c:pt idx="21">
                  <c:v>13.220454902682004</c:v>
                </c:pt>
                <c:pt idx="22">
                  <c:v>12.559432157547899</c:v>
                </c:pt>
                <c:pt idx="23">
                  <c:v>11.961363959569429</c:v>
                </c:pt>
                <c:pt idx="24">
                  <c:v>11.417665597770821</c:v>
                </c:pt>
                <c:pt idx="25">
                  <c:v>10.921245354389479</c:v>
                </c:pt>
                <c:pt idx="26">
                  <c:v>10.466193464623251</c:v>
                </c:pt>
                <c:pt idx="27">
                  <c:v>10.047545726038322</c:v>
                </c:pt>
                <c:pt idx="28">
                  <c:v>9.6611016596522337</c:v>
                </c:pt>
                <c:pt idx="29">
                  <c:v>9.3032830796651123</c:v>
                </c:pt>
                <c:pt idx="30">
                  <c:v>8.9710229696770742</c:v>
                </c:pt>
                <c:pt idx="31">
                  <c:v>8.6616773500330346</c:v>
                </c:pt>
                <c:pt idx="32">
                  <c:v>8.3729547716986001</c:v>
                </c:pt>
                <c:pt idx="33">
                  <c:v>8.102859456482518</c:v>
                </c:pt>
                <c:pt idx="34">
                  <c:v>7.8496450984674384</c:v>
                </c:pt>
                <c:pt idx="35">
                  <c:v>7.6117770651805454</c:v>
                </c:pt>
                <c:pt idx="36">
                  <c:v>7.387901269145825</c:v>
                </c:pt>
                <c:pt idx="37">
                  <c:v>7.1768183757416564</c:v>
                </c:pt>
                <c:pt idx="38">
                  <c:v>6.9774623097488346</c:v>
                </c:pt>
                <c:pt idx="39">
                  <c:v>6.7888822473231905</c:v>
                </c:pt>
                <c:pt idx="40">
                  <c:v>6.6102274513410002</c:v>
                </c:pt>
                <c:pt idx="41">
                  <c:v>6.4407344397681534</c:v>
                </c:pt>
                <c:pt idx="42">
                  <c:v>6.2797160787739505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BC-4D8C-9F7A-38BEAF490CB5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zu1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Sheet1!$G$4:$G$46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xVal>
          <c:yVal>
            <c:numRef>
              <c:f>Sheet1!$I$4:$I$46</c:f>
              <c:numCache>
                <c:formatCode>General</c:formatCode>
                <c:ptCount val="43"/>
                <c:pt idx="0">
                  <c:v>12559.432157547899</c:v>
                </c:pt>
                <c:pt idx="1">
                  <c:v>2511.8864315095802</c:v>
                </c:pt>
                <c:pt idx="2">
                  <c:v>1255.9432157547901</c:v>
                </c:pt>
                <c:pt idx="3">
                  <c:v>251.188643150958</c:v>
                </c:pt>
                <c:pt idx="4">
                  <c:v>125.59432157547901</c:v>
                </c:pt>
                <c:pt idx="5">
                  <c:v>83.729547716986033</c:v>
                </c:pt>
                <c:pt idx="6">
                  <c:v>62.7971607877395</c:v>
                </c:pt>
                <c:pt idx="7">
                  <c:v>50.237728630191597</c:v>
                </c:pt>
                <c:pt idx="8">
                  <c:v>41.864773858493002</c:v>
                </c:pt>
                <c:pt idx="9">
                  <c:v>35.884091878708297</c:v>
                </c:pt>
                <c:pt idx="10">
                  <c:v>31.398580393869754</c:v>
                </c:pt>
                <c:pt idx="11">
                  <c:v>27.909849238995339</c:v>
                </c:pt>
                <c:pt idx="12">
                  <c:v>25.118864315095802</c:v>
                </c:pt>
                <c:pt idx="13">
                  <c:v>22.835331195541634</c:v>
                </c:pt>
                <c:pt idx="14">
                  <c:v>20.932386929246508</c:v>
                </c:pt>
                <c:pt idx="15">
                  <c:v>19.322203319304467</c:v>
                </c:pt>
                <c:pt idx="16">
                  <c:v>17.942045939354141</c:v>
                </c:pt>
                <c:pt idx="17">
                  <c:v>16.7459095433972</c:v>
                </c:pt>
                <c:pt idx="18">
                  <c:v>15.699290196934875</c:v>
                </c:pt>
                <c:pt idx="19">
                  <c:v>14.775802538291646</c:v>
                </c:pt>
                <c:pt idx="20">
                  <c:v>13.954924619497669</c:v>
                </c:pt>
                <c:pt idx="21">
                  <c:v>13.220454902682004</c:v>
                </c:pt>
                <c:pt idx="22">
                  <c:v>12.559432157547899</c:v>
                </c:pt>
                <c:pt idx="23">
                  <c:v>11.961363959569429</c:v>
                </c:pt>
                <c:pt idx="24">
                  <c:v>11.417665597770821</c:v>
                </c:pt>
                <c:pt idx="25">
                  <c:v>10.921245354389479</c:v>
                </c:pt>
                <c:pt idx="26">
                  <c:v>10.466193464623251</c:v>
                </c:pt>
                <c:pt idx="27">
                  <c:v>10.047545726038322</c:v>
                </c:pt>
                <c:pt idx="28">
                  <c:v>9.6611016596522337</c:v>
                </c:pt>
                <c:pt idx="29">
                  <c:v>9.3032830796651123</c:v>
                </c:pt>
                <c:pt idx="30">
                  <c:v>8.9710229696770742</c:v>
                </c:pt>
                <c:pt idx="31">
                  <c:v>8.6616773500330346</c:v>
                </c:pt>
                <c:pt idx="32">
                  <c:v>8.3729547716986001</c:v>
                </c:pt>
                <c:pt idx="33">
                  <c:v>8.102859456482518</c:v>
                </c:pt>
                <c:pt idx="34">
                  <c:v>7.8496450984674384</c:v>
                </c:pt>
                <c:pt idx="35">
                  <c:v>7.6117770651805454</c:v>
                </c:pt>
                <c:pt idx="36">
                  <c:v>7.387901269145825</c:v>
                </c:pt>
                <c:pt idx="37">
                  <c:v>7.1768183757416564</c:v>
                </c:pt>
                <c:pt idx="38">
                  <c:v>6.9774623097488346</c:v>
                </c:pt>
                <c:pt idx="39">
                  <c:v>6.7888822473231905</c:v>
                </c:pt>
                <c:pt idx="40">
                  <c:v>6.6102274513410002</c:v>
                </c:pt>
                <c:pt idx="41">
                  <c:v>6.4407344397681534</c:v>
                </c:pt>
                <c:pt idx="42">
                  <c:v>6.2797160787739505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BC-4D8C-9F7A-38BEAF490CB5}"/>
            </c:ext>
          </c:extLst>
        </c:ser>
        <c:ser>
          <c:idx val="2"/>
          <c:order val="2"/>
          <c:tx>
            <c:strRef>
              <c:f>Sheet1!$J$3</c:f>
              <c:strCache>
                <c:ptCount val="1"/>
                <c:pt idx="0">
                  <c:v>zb0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Sheet1!$G$4:$G$46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xVal>
          <c:yVal>
            <c:numRef>
              <c:f>Sheet1!$J$4:$J$46</c:f>
              <c:numCache>
                <c:formatCode>General</c:formatCode>
                <c:ptCount val="43"/>
                <c:pt idx="0">
                  <c:v>49.950236603680814</c:v>
                </c:pt>
                <c:pt idx="1">
                  <c:v>49.751183018404063</c:v>
                </c:pt>
                <c:pt idx="2">
                  <c:v>49.502366036808127</c:v>
                </c:pt>
                <c:pt idx="3">
                  <c:v>47.51183018404064</c:v>
                </c:pt>
                <c:pt idx="4">
                  <c:v>45.023660368081288</c:v>
                </c:pt>
                <c:pt idx="5">
                  <c:v>42.535490552121928</c:v>
                </c:pt>
                <c:pt idx="6">
                  <c:v>40.047320736162568</c:v>
                </c:pt>
                <c:pt idx="7">
                  <c:v>37.559150920203209</c:v>
                </c:pt>
                <c:pt idx="8">
                  <c:v>35.070981104243856</c:v>
                </c:pt>
                <c:pt idx="9">
                  <c:v>32.582811288284496</c:v>
                </c:pt>
                <c:pt idx="10">
                  <c:v>30.09464147232514</c:v>
                </c:pt>
                <c:pt idx="11">
                  <c:v>27.606471656365784</c:v>
                </c:pt>
                <c:pt idx="12">
                  <c:v>25.118301840406424</c:v>
                </c:pt>
                <c:pt idx="13">
                  <c:v>22.630132024447068</c:v>
                </c:pt>
                <c:pt idx="14">
                  <c:v>20.141962208487712</c:v>
                </c:pt>
                <c:pt idx="15">
                  <c:v>17.653792392528352</c:v>
                </c:pt>
                <c:pt idx="16">
                  <c:v>15.165622576568992</c:v>
                </c:pt>
                <c:pt idx="17">
                  <c:v>12.67745276060964</c:v>
                </c:pt>
                <c:pt idx="18">
                  <c:v>10.18928294465028</c:v>
                </c:pt>
                <c:pt idx="19">
                  <c:v>7.7011131286909205</c:v>
                </c:pt>
                <c:pt idx="20">
                  <c:v>5.2129433127315679</c:v>
                </c:pt>
                <c:pt idx="21">
                  <c:v>2.7247734967722081</c:v>
                </c:pt>
                <c:pt idx="22">
                  <c:v>0.23660368081284844</c:v>
                </c:pt>
                <c:pt idx="23">
                  <c:v>-2.2515661351465042</c:v>
                </c:pt>
                <c:pt idx="24">
                  <c:v>-4.7397359511058639</c:v>
                </c:pt>
                <c:pt idx="25">
                  <c:v>-7.2279057670652236</c:v>
                </c:pt>
                <c:pt idx="26">
                  <c:v>-9.7160755830245762</c:v>
                </c:pt>
                <c:pt idx="27">
                  <c:v>-12.204245398983936</c:v>
                </c:pt>
                <c:pt idx="28">
                  <c:v>-14.692415214943296</c:v>
                </c:pt>
                <c:pt idx="29">
                  <c:v>-17.180585030902648</c:v>
                </c:pt>
                <c:pt idx="30">
                  <c:v>-19.668754846862015</c:v>
                </c:pt>
                <c:pt idx="31">
                  <c:v>-22.156924662821368</c:v>
                </c:pt>
                <c:pt idx="32">
                  <c:v>-24.64509447878072</c:v>
                </c:pt>
                <c:pt idx="33">
                  <c:v>-27.133264294740087</c:v>
                </c:pt>
                <c:pt idx="34">
                  <c:v>-29.62143411069944</c:v>
                </c:pt>
                <c:pt idx="35">
                  <c:v>-32.109603926658792</c:v>
                </c:pt>
                <c:pt idx="36">
                  <c:v>-34.597773742618159</c:v>
                </c:pt>
                <c:pt idx="37">
                  <c:v>-37.085943558577512</c:v>
                </c:pt>
                <c:pt idx="38">
                  <c:v>-39.574113374536864</c:v>
                </c:pt>
                <c:pt idx="39">
                  <c:v>-42.062283190496231</c:v>
                </c:pt>
                <c:pt idx="40">
                  <c:v>-44.550453006455584</c:v>
                </c:pt>
                <c:pt idx="41">
                  <c:v>-47.038622822414936</c:v>
                </c:pt>
                <c:pt idx="42">
                  <c:v>-49.526792638374303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BC-4D8C-9F7A-38BEAF490CB5}"/>
            </c:ext>
          </c:extLst>
        </c:ser>
        <c:ser>
          <c:idx val="3"/>
          <c:order val="3"/>
          <c:tx>
            <c:strRef>
              <c:f>Sheet1!$K$3</c:f>
              <c:strCache>
                <c:ptCount val="1"/>
                <c:pt idx="0">
                  <c:v>zb1</c:v>
                </c:pt>
              </c:strCache>
            </c:strRef>
          </c:tx>
          <c:spPr>
            <a:ln w="127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Sheet1!$G$4:$G$46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xVal>
          <c:yVal>
            <c:numRef>
              <c:f>Sheet1!$K$4:$K$46</c:f>
              <c:numCache>
                <c:formatCode>General</c:formatCode>
                <c:ptCount val="43"/>
                <c:pt idx="0">
                  <c:v>49.950236603680814</c:v>
                </c:pt>
                <c:pt idx="1">
                  <c:v>49.751183018404063</c:v>
                </c:pt>
                <c:pt idx="2">
                  <c:v>49.502366036808127</c:v>
                </c:pt>
                <c:pt idx="3">
                  <c:v>47.51183018404064</c:v>
                </c:pt>
                <c:pt idx="4">
                  <c:v>45.023660368081288</c:v>
                </c:pt>
                <c:pt idx="5">
                  <c:v>42.535490552121928</c:v>
                </c:pt>
                <c:pt idx="6">
                  <c:v>40.047320736162568</c:v>
                </c:pt>
                <c:pt idx="7">
                  <c:v>37.559150920203209</c:v>
                </c:pt>
                <c:pt idx="8">
                  <c:v>35.070981104243856</c:v>
                </c:pt>
                <c:pt idx="9">
                  <c:v>32.582811288284496</c:v>
                </c:pt>
                <c:pt idx="10">
                  <c:v>30.09464147232514</c:v>
                </c:pt>
                <c:pt idx="11">
                  <c:v>27.606471656365784</c:v>
                </c:pt>
                <c:pt idx="12">
                  <c:v>25.118301840406424</c:v>
                </c:pt>
                <c:pt idx="13">
                  <c:v>22.630132024447068</c:v>
                </c:pt>
                <c:pt idx="14">
                  <c:v>20.141962208487712</c:v>
                </c:pt>
                <c:pt idx="15">
                  <c:v>17.653792392528352</c:v>
                </c:pt>
                <c:pt idx="16">
                  <c:v>15.165622576568992</c:v>
                </c:pt>
                <c:pt idx="17">
                  <c:v>12.67745276060964</c:v>
                </c:pt>
                <c:pt idx="18">
                  <c:v>10.18928294465028</c:v>
                </c:pt>
                <c:pt idx="19">
                  <c:v>7.7011131286909205</c:v>
                </c:pt>
                <c:pt idx="20">
                  <c:v>5.2129433127315679</c:v>
                </c:pt>
                <c:pt idx="21">
                  <c:v>2.7247734967722081</c:v>
                </c:pt>
                <c:pt idx="22">
                  <c:v>0.23660368081284844</c:v>
                </c:pt>
                <c:pt idx="23">
                  <c:v>-2.2515661351465042</c:v>
                </c:pt>
                <c:pt idx="24">
                  <c:v>-4.7397359511058639</c:v>
                </c:pt>
                <c:pt idx="25">
                  <c:v>-7.2279057670652236</c:v>
                </c:pt>
                <c:pt idx="26">
                  <c:v>-9.7160755830245762</c:v>
                </c:pt>
                <c:pt idx="27">
                  <c:v>-12.204245398983936</c:v>
                </c:pt>
                <c:pt idx="28">
                  <c:v>-14.692415214943296</c:v>
                </c:pt>
                <c:pt idx="29">
                  <c:v>-17.180585030902648</c:v>
                </c:pt>
                <c:pt idx="30">
                  <c:v>-19.668754846862015</c:v>
                </c:pt>
                <c:pt idx="31">
                  <c:v>-22.156924662821368</c:v>
                </c:pt>
                <c:pt idx="32">
                  <c:v>-24.64509447878072</c:v>
                </c:pt>
                <c:pt idx="33">
                  <c:v>-27.133264294740087</c:v>
                </c:pt>
                <c:pt idx="34">
                  <c:v>-29.62143411069944</c:v>
                </c:pt>
                <c:pt idx="35">
                  <c:v>-32.109603926658792</c:v>
                </c:pt>
                <c:pt idx="36">
                  <c:v>-34.597773742618159</c:v>
                </c:pt>
                <c:pt idx="37">
                  <c:v>-37.085943558577512</c:v>
                </c:pt>
                <c:pt idx="38">
                  <c:v>-39.574113374536864</c:v>
                </c:pt>
                <c:pt idx="39">
                  <c:v>-42.062283190496231</c:v>
                </c:pt>
                <c:pt idx="40">
                  <c:v>-44.550453006455584</c:v>
                </c:pt>
                <c:pt idx="41">
                  <c:v>-47.038622822414936</c:v>
                </c:pt>
                <c:pt idx="42">
                  <c:v>-49.526792638374303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BC-4D8C-9F7A-38BEAF490CB5}"/>
            </c:ext>
          </c:extLst>
        </c:ser>
        <c:ser>
          <c:idx val="5"/>
          <c:order val="4"/>
          <c:marker>
            <c:symbol val="none"/>
          </c:marker>
          <c:dPt>
            <c:idx val="1"/>
            <c:bubble3D val="0"/>
            <c:spPr>
              <a:ln w="12700">
                <a:solidFill>
                  <a:prstClr val="black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6BC-4D8C-9F7A-38BEAF490CB5}"/>
              </c:ext>
            </c:extLst>
          </c:dPt>
          <c:xVal>
            <c:numRef>
              <c:f>Sheet1!$O$4:$O$5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xVal>
          <c:yVal>
            <c:numRef>
              <c:f>Sheet1!$N$4:$N$5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6BC-4D8C-9F7A-38BEAF490CB5}"/>
            </c:ext>
          </c:extLst>
        </c:ser>
        <c:ser>
          <c:idx val="7"/>
          <c:order val="5"/>
          <c:marker>
            <c:symbol val="none"/>
          </c:marker>
          <c:dPt>
            <c:idx val="1"/>
            <c:bubble3D val="0"/>
            <c:spPr>
              <a:ln w="12700">
                <a:solidFill>
                  <a:prstClr val="black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8-E6BC-4D8C-9F7A-38BEAF490CB5}"/>
              </c:ext>
            </c:extLst>
          </c:dPt>
          <c:xVal>
            <c:numRef>
              <c:f>Sheet1!$S$4:$S$5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xVal>
          <c:yVal>
            <c:numRef>
              <c:f>Sheet1!$R$4:$R$5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6BC-4D8C-9F7A-38BEAF490CB5}"/>
            </c:ext>
          </c:extLst>
        </c:ser>
        <c:ser>
          <c:idx val="8"/>
          <c:order val="6"/>
          <c:tx>
            <c:v>a</c:v>
          </c:tx>
          <c:spPr>
            <a:ln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6BC-4D8C-9F7A-38BEAF490CB5}"/>
                </c:ext>
              </c:extLst>
            </c:dLbl>
            <c:spPr>
              <a:solidFill>
                <a:schemeClr val="bg1"/>
              </a:solidFill>
            </c:spPr>
            <c:txPr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Sheet1!$L$4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Sheet1!$N$4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6BC-4D8C-9F7A-38BEAF490CB5}"/>
            </c:ext>
          </c:extLst>
        </c:ser>
        <c:ser>
          <c:idx val="9"/>
          <c:order val="7"/>
          <c:tx>
            <c:v>b</c:v>
          </c:tx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6BC-4D8C-9F7A-38BEAF490CB5}"/>
                </c:ext>
              </c:extLst>
            </c:dLbl>
            <c:spPr>
              <a:solidFill>
                <a:sysClr val="window" lastClr="FFFFFF"/>
              </a:solidFill>
            </c:spPr>
            <c:txPr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Sheet1!$P$4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Sheet1!$R$4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6BC-4D8C-9F7A-38BEAF490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540528"/>
        <c:axId val="1803535632"/>
      </c:scatterChart>
      <c:valAx>
        <c:axId val="1803540528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03535632"/>
        <c:crosses val="autoZero"/>
        <c:crossBetween val="midCat"/>
      </c:valAx>
      <c:valAx>
        <c:axId val="1803535632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803540528"/>
        <c:crosses val="autoZero"/>
        <c:crossBetween val="midCat"/>
      </c:valAx>
      <c:spPr>
        <a:solidFill>
          <a:schemeClr val="accent6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66E-2"/>
          <c:w val="0.8329651424171558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Sheet1!$AJ$4:$AJ$46</c:f>
              <c:numCache>
                <c:formatCode>General</c:formatCode>
                <c:ptCount val="43"/>
                <c:pt idx="0">
                  <c:v>10.00032</c:v>
                </c:pt>
                <c:pt idx="1">
                  <c:v>10.004678428381141</c:v>
                </c:pt>
                <c:pt idx="2">
                  <c:v>10.01485308426756</c:v>
                </c:pt>
                <c:pt idx="3">
                  <c:v>10.217153409327592</c:v>
                </c:pt>
                <c:pt idx="4">
                  <c:v>10.689419100810204</c:v>
                </c:pt>
                <c:pt idx="5">
                  <c:v>11.355091881588681</c:v>
                </c:pt>
                <c:pt idx="6">
                  <c:v>12.188769211746173</c:v>
                </c:pt>
                <c:pt idx="7">
                  <c:v>13.1748021039364</c:v>
                </c:pt>
                <c:pt idx="8">
                  <c:v>14.302148556694879</c:v>
                </c:pt>
                <c:pt idx="9">
                  <c:v>15.562414974923911</c:v>
                </c:pt>
                <c:pt idx="10">
                  <c:v>16.948909098482961</c:v>
                </c:pt>
                <c:pt idx="11">
                  <c:v>18.456114104924747</c:v>
                </c:pt>
                <c:pt idx="12">
                  <c:v>20.079368399158994</c:v>
                </c:pt>
                <c:pt idx="13">
                  <c:v>21.814657262472373</c:v>
                </c:pt>
                <c:pt idx="14">
                  <c:v>23.658470289241855</c:v>
                </c:pt>
                <c:pt idx="15">
                  <c:v>25.607699902533618</c:v>
                </c:pt>
                <c:pt idx="16">
                  <c:v>27.659566765355763</c:v>
                </c:pt>
                <c:pt idx="17">
                  <c:v>29.811563493367764</c:v>
                </c:pt>
                <c:pt idx="18">
                  <c:v>32.061411225926513</c:v>
                </c:pt>
                <c:pt idx="19">
                  <c:v>34.407025478531395</c:v>
                </c:pt>
                <c:pt idx="20">
                  <c:v>36.846488851441364</c:v>
                </c:pt>
                <c:pt idx="21">
                  <c:v>39.378028905359045</c:v>
                </c:pt>
                <c:pt idx="22">
                  <c:v>42.000000000000014</c:v>
                </c:pt>
                <c:pt idx="23">
                  <c:v>44.71086821932267</c:v>
                </c:pt>
                <c:pt idx="24">
                  <c:v>47.509198734184736</c:v>
                </c:pt>
                <c:pt idx="25">
                  <c:v>50.393645113560254</c:v>
                </c:pt>
                <c:pt idx="26">
                  <c:v>53.362940210837863</c:v>
                </c:pt>
                <c:pt idx="27">
                  <c:v>56.41588833612785</c:v>
                </c:pt>
                <c:pt idx="28">
                  <c:v>59.551358488171687</c:v>
                </c:pt>
                <c:pt idx="29">
                  <c:v>62.768278466605054</c:v>
                </c:pt>
                <c:pt idx="30">
                  <c:v>66.065629721256755</c:v>
                </c:pt>
                <c:pt idx="31">
                  <c:v>69.442442822848164</c:v>
                </c:pt>
                <c:pt idx="32">
                  <c:v>72.897793461013549</c:v>
                </c:pt>
                <c:pt idx="33">
                  <c:v>76.430798892504271</c:v>
                </c:pt>
                <c:pt idx="34">
                  <c:v>80.040614775877515</c:v>
                </c:pt>
                <c:pt idx="35">
                  <c:v>83.72643233971435</c:v>
                </c:pt>
                <c:pt idx="36">
                  <c:v>87.487475840070786</c:v>
                </c:pt>
                <c:pt idx="37">
                  <c:v>91.323000269891892</c:v>
                </c:pt>
                <c:pt idx="38">
                  <c:v>95.232289288861111</c:v>
                </c:pt>
                <c:pt idx="39">
                  <c:v>99.214653346874613</c:v>
                </c:pt>
                <c:pt idx="40">
                  <c:v>103.2694279782381</c:v>
                </c:pt>
                <c:pt idx="41">
                  <c:v>107.39597224692686</c:v>
                </c:pt>
                <c:pt idx="42">
                  <c:v>111.59366732596477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F9-4F2A-BC61-9851FF982DD8}"/>
            </c:ext>
          </c:extLst>
        </c:ser>
        <c:ser>
          <c:idx val="1"/>
          <c:order val="1"/>
          <c:spPr>
            <a:ln>
              <a:solidFill>
                <a:srgbClr val="EEECE1">
                  <a:lumMod val="50000"/>
                </a:srgbClr>
              </a:solidFill>
              <a:prstDash val="lg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Sheet1!$AK$4:$AK$46</c:f>
              <c:numCache>
                <c:formatCode>General</c:formatCode>
                <c:ptCount val="43"/>
                <c:pt idx="0">
                  <c:v>10.00032</c:v>
                </c:pt>
                <c:pt idx="1">
                  <c:v>10.004678428381141</c:v>
                </c:pt>
                <c:pt idx="2">
                  <c:v>10.01485308426756</c:v>
                </c:pt>
                <c:pt idx="3">
                  <c:v>10.217153409327592</c:v>
                </c:pt>
                <c:pt idx="4">
                  <c:v>10.689419100810204</c:v>
                </c:pt>
                <c:pt idx="5">
                  <c:v>11.355091881588681</c:v>
                </c:pt>
                <c:pt idx="6">
                  <c:v>12.188769211746173</c:v>
                </c:pt>
                <c:pt idx="7">
                  <c:v>13.1748021039364</c:v>
                </c:pt>
                <c:pt idx="8">
                  <c:v>14.302148556694879</c:v>
                </c:pt>
                <c:pt idx="9">
                  <c:v>15.562414974923911</c:v>
                </c:pt>
                <c:pt idx="10">
                  <c:v>16.948909098482961</c:v>
                </c:pt>
                <c:pt idx="11">
                  <c:v>18.456114104924747</c:v>
                </c:pt>
                <c:pt idx="12">
                  <c:v>20.079368399158994</c:v>
                </c:pt>
                <c:pt idx="13">
                  <c:v>21.814657262472373</c:v>
                </c:pt>
                <c:pt idx="14">
                  <c:v>23.658470289241855</c:v>
                </c:pt>
                <c:pt idx="15">
                  <c:v>25.607699902533618</c:v>
                </c:pt>
                <c:pt idx="16">
                  <c:v>27.659566765355763</c:v>
                </c:pt>
                <c:pt idx="17">
                  <c:v>29.811563493367764</c:v>
                </c:pt>
                <c:pt idx="18">
                  <c:v>32.061411225926513</c:v>
                </c:pt>
                <c:pt idx="19">
                  <c:v>34.407025478531395</c:v>
                </c:pt>
                <c:pt idx="20">
                  <c:v>36.846488851441364</c:v>
                </c:pt>
                <c:pt idx="21">
                  <c:v>39.378028905359045</c:v>
                </c:pt>
                <c:pt idx="22">
                  <c:v>42.000000000000014</c:v>
                </c:pt>
                <c:pt idx="23">
                  <c:v>44.71086821932267</c:v>
                </c:pt>
                <c:pt idx="24">
                  <c:v>47.509198734184736</c:v>
                </c:pt>
                <c:pt idx="25">
                  <c:v>50.393645113560254</c:v>
                </c:pt>
                <c:pt idx="26">
                  <c:v>53.362940210837863</c:v>
                </c:pt>
                <c:pt idx="27">
                  <c:v>56.41588833612785</c:v>
                </c:pt>
                <c:pt idx="28">
                  <c:v>59.551358488171687</c:v>
                </c:pt>
                <c:pt idx="29">
                  <c:v>62.768278466605054</c:v>
                </c:pt>
                <c:pt idx="30">
                  <c:v>66.065629721256755</c:v>
                </c:pt>
                <c:pt idx="31">
                  <c:v>69.442442822848164</c:v>
                </c:pt>
                <c:pt idx="32">
                  <c:v>72.897793461013549</c:v>
                </c:pt>
                <c:pt idx="33">
                  <c:v>76.430798892504271</c:v>
                </c:pt>
                <c:pt idx="34">
                  <c:v>80.040614775877515</c:v>
                </c:pt>
                <c:pt idx="35">
                  <c:v>83.72643233971435</c:v>
                </c:pt>
                <c:pt idx="36">
                  <c:v>87.487475840070786</c:v>
                </c:pt>
                <c:pt idx="37">
                  <c:v>91.323000269891892</c:v>
                </c:pt>
                <c:pt idx="38">
                  <c:v>95.232289288861111</c:v>
                </c:pt>
                <c:pt idx="39">
                  <c:v>99.214653346874613</c:v>
                </c:pt>
                <c:pt idx="40">
                  <c:v>103.2694279782381</c:v>
                </c:pt>
                <c:pt idx="41">
                  <c:v>107.39597224692686</c:v>
                </c:pt>
                <c:pt idx="42">
                  <c:v>111.59366732596477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F9-4F2A-BC61-9851FF982DD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Sheet1!$AN$4:$AN$46</c:f>
              <c:numCache>
                <c:formatCode>General</c:formatCode>
                <c:ptCount val="43"/>
                <c:pt idx="0">
                  <c:v>0.39810717055349715</c:v>
                </c:pt>
                <c:pt idx="1">
                  <c:v>1.1640724284081607</c:v>
                </c:pt>
                <c:pt idx="2">
                  <c:v>1.8478497974222907</c:v>
                </c:pt>
                <c:pt idx="3">
                  <c:v>5.403145585215829</c:v>
                </c:pt>
                <c:pt idx="4">
                  <c:v>8.5769589859089397</c:v>
                </c:pt>
                <c:pt idx="5">
                  <c:v>11.238995725401761</c:v>
                </c:pt>
                <c:pt idx="6">
                  <c:v>13.615073716919957</c:v>
                </c:pt>
                <c:pt idx="7">
                  <c:v>15.798893533317624</c:v>
                </c:pt>
                <c:pt idx="8">
                  <c:v>17.840793637568851</c:v>
                </c:pt>
                <c:pt idx="9">
                  <c:v>19.7717614920657</c:v>
                </c:pt>
                <c:pt idx="10">
                  <c:v>21.61258234086332</c:v>
                </c:pt>
                <c:pt idx="11">
                  <c:v>23.378053195757701</c:v>
                </c:pt>
                <c:pt idx="12">
                  <c:v>25.07918021472198</c:v>
                </c:pt>
                <c:pt idx="13">
                  <c:v>26.724430533080678</c:v>
                </c:pt>
                <c:pt idx="14">
                  <c:v>28.32049458822436</c:v>
                </c:pt>
                <c:pt idx="15">
                  <c:v>29.872775226181474</c:v>
                </c:pt>
                <c:pt idx="16">
                  <c:v>31.385714991769426</c:v>
                </c:pt>
                <c:pt idx="17">
                  <c:v>32.863022860773327</c:v>
                </c:pt>
                <c:pt idx="18">
                  <c:v>34.307835943635773</c:v>
                </c:pt>
                <c:pt idx="19">
                  <c:v>35.722837701783995</c:v>
                </c:pt>
                <c:pt idx="20">
                  <c:v>37.110346235914307</c:v>
                </c:pt>
                <c:pt idx="21">
                  <c:v>38.472381460366215</c:v>
                </c:pt>
                <c:pt idx="22">
                  <c:v>39.810717055349727</c:v>
                </c:pt>
                <c:pt idx="23">
                  <c:v>41.126921232886438</c:v>
                </c:pt>
                <c:pt idx="24">
                  <c:v>42.422389141463334</c:v>
                </c:pt>
                <c:pt idx="25">
                  <c:v>43.698368925275986</c:v>
                </c:pt>
                <c:pt idx="26">
                  <c:v>44.955982901607058</c:v>
                </c:pt>
                <c:pt idx="27">
                  <c:v>46.196244935557282</c:v>
                </c:pt>
                <c:pt idx="28">
                  <c:v>47.420074819250047</c:v>
                </c:pt>
                <c:pt idx="29">
                  <c:v>48.628310266942478</c:v>
                </c:pt>
                <c:pt idx="30">
                  <c:v>49.821716994708879</c:v>
                </c:pt>
                <c:pt idx="31">
                  <c:v>51.000997247827833</c:v>
                </c:pt>
                <c:pt idx="32">
                  <c:v>52.166797060046569</c:v>
                </c:pt>
                <c:pt idx="33">
                  <c:v>53.319712469159796</c:v>
                </c:pt>
                <c:pt idx="34">
                  <c:v>54.460294867679821</c:v>
                </c:pt>
                <c:pt idx="35">
                  <c:v>55.589055632135484</c:v>
                </c:pt>
                <c:pt idx="36">
                  <c:v>56.706470147101172</c:v>
                </c:pt>
                <c:pt idx="37">
                  <c:v>57.812981318514183</c:v>
                </c:pt>
                <c:pt idx="38">
                  <c:v>58.909002653794502</c:v>
                </c:pt>
                <c:pt idx="39">
                  <c:v>59.994920972694807</c:v>
                </c:pt>
                <c:pt idx="40">
                  <c:v>61.071098801907183</c:v>
                </c:pt>
                <c:pt idx="41">
                  <c:v>62.13787649764577</c:v>
                </c:pt>
                <c:pt idx="42">
                  <c:v>63.195574133270497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F9-4F2A-BC61-9851FF982DD8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Sheet1!$AO$4:$AO$46</c:f>
              <c:numCache>
                <c:formatCode>General</c:formatCode>
                <c:ptCount val="43"/>
                <c:pt idx="0">
                  <c:v>0.39810717055349715</c:v>
                </c:pt>
                <c:pt idx="1">
                  <c:v>1.1640724284081607</c:v>
                </c:pt>
                <c:pt idx="2">
                  <c:v>1.8478497974222907</c:v>
                </c:pt>
                <c:pt idx="3">
                  <c:v>5.403145585215829</c:v>
                </c:pt>
                <c:pt idx="4">
                  <c:v>8.5769589859089397</c:v>
                </c:pt>
                <c:pt idx="5">
                  <c:v>11.238995725401761</c:v>
                </c:pt>
                <c:pt idx="6">
                  <c:v>13.615073716919957</c:v>
                </c:pt>
                <c:pt idx="7">
                  <c:v>15.798893533317624</c:v>
                </c:pt>
                <c:pt idx="8">
                  <c:v>17.840793637568851</c:v>
                </c:pt>
                <c:pt idx="9">
                  <c:v>19.7717614920657</c:v>
                </c:pt>
                <c:pt idx="10">
                  <c:v>21.61258234086332</c:v>
                </c:pt>
                <c:pt idx="11">
                  <c:v>23.378053195757701</c:v>
                </c:pt>
                <c:pt idx="12">
                  <c:v>25.07918021472198</c:v>
                </c:pt>
                <c:pt idx="13">
                  <c:v>26.724430533080678</c:v>
                </c:pt>
                <c:pt idx="14">
                  <c:v>28.32049458822436</c:v>
                </c:pt>
                <c:pt idx="15">
                  <c:v>29.872775226181474</c:v>
                </c:pt>
                <c:pt idx="16">
                  <c:v>31.385714991769426</c:v>
                </c:pt>
                <c:pt idx="17">
                  <c:v>32.863022860773327</c:v>
                </c:pt>
                <c:pt idx="18">
                  <c:v>34.307835943635773</c:v>
                </c:pt>
                <c:pt idx="19">
                  <c:v>35.722837701783995</c:v>
                </c:pt>
                <c:pt idx="20">
                  <c:v>37.110346235914307</c:v>
                </c:pt>
                <c:pt idx="21">
                  <c:v>38.472381460366215</c:v>
                </c:pt>
                <c:pt idx="22">
                  <c:v>39.810717055349727</c:v>
                </c:pt>
                <c:pt idx="23">
                  <c:v>41.126921232886438</c:v>
                </c:pt>
                <c:pt idx="24">
                  <c:v>42.422389141463334</c:v>
                </c:pt>
                <c:pt idx="25">
                  <c:v>43.698368925275986</c:v>
                </c:pt>
                <c:pt idx="26">
                  <c:v>44.955982901607058</c:v>
                </c:pt>
                <c:pt idx="27">
                  <c:v>46.196244935557282</c:v>
                </c:pt>
                <c:pt idx="28">
                  <c:v>47.420074819250047</c:v>
                </c:pt>
                <c:pt idx="29">
                  <c:v>48.628310266942478</c:v>
                </c:pt>
                <c:pt idx="30">
                  <c:v>49.821716994708879</c:v>
                </c:pt>
                <c:pt idx="31">
                  <c:v>51.000997247827833</c:v>
                </c:pt>
                <c:pt idx="32">
                  <c:v>52.166797060046569</c:v>
                </c:pt>
                <c:pt idx="33">
                  <c:v>53.319712469159796</c:v>
                </c:pt>
                <c:pt idx="34">
                  <c:v>54.460294867679821</c:v>
                </c:pt>
                <c:pt idx="35">
                  <c:v>55.589055632135484</c:v>
                </c:pt>
                <c:pt idx="36">
                  <c:v>56.706470147101172</c:v>
                </c:pt>
                <c:pt idx="37">
                  <c:v>57.812981318514183</c:v>
                </c:pt>
                <c:pt idx="38">
                  <c:v>58.909002653794502</c:v>
                </c:pt>
                <c:pt idx="39">
                  <c:v>59.994920972694807</c:v>
                </c:pt>
                <c:pt idx="40">
                  <c:v>61.071098801907183</c:v>
                </c:pt>
                <c:pt idx="41">
                  <c:v>62.13787649764577</c:v>
                </c:pt>
                <c:pt idx="42">
                  <c:v>63.195574133270497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F9-4F2A-BC61-9851FF982DD8}"/>
            </c:ext>
          </c:extLst>
        </c:ser>
        <c:ser>
          <c:idx val="4"/>
          <c:order val="4"/>
          <c:spPr>
            <a:ln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dLbls>
            <c:dLbl>
              <c:idx val="26"/>
              <c:layout>
                <c:manualLayout>
                  <c:x val="-5.65732680617397E-2"/>
                  <c:y val="5.442561689508283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profit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F9-4F2A-BC61-9851FF982DD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Sheet1!$AP$4:$AP$46</c:f>
              <c:numCache>
                <c:formatCode>General</c:formatCode>
                <c:ptCount val="43"/>
                <c:pt idx="0">
                  <c:v>-9.6022128294465023</c:v>
                </c:pt>
                <c:pt idx="1">
                  <c:v>-8.8406059999729791</c:v>
                </c:pt>
                <c:pt idx="2">
                  <c:v>-8.1670032868452704</c:v>
                </c:pt>
                <c:pt idx="3">
                  <c:v>-4.814007824111763</c:v>
                </c:pt>
                <c:pt idx="4">
                  <c:v>-2.1124601149012641</c:v>
                </c:pt>
                <c:pt idx="5">
                  <c:v>-0.11609615618692004</c:v>
                </c:pt>
                <c:pt idx="6">
                  <c:v>1.4263045051737837</c:v>
                </c:pt>
                <c:pt idx="7">
                  <c:v>2.6240914293812239</c:v>
                </c:pt>
                <c:pt idx="8">
                  <c:v>3.5386450808739713</c:v>
                </c:pt>
                <c:pt idx="9">
                  <c:v>4.209346517141789</c:v>
                </c:pt>
                <c:pt idx="10">
                  <c:v>4.6636732423803586</c:v>
                </c:pt>
                <c:pt idx="11">
                  <c:v>4.9219390908329537</c:v>
                </c:pt>
                <c:pt idx="12">
                  <c:v>4.9998118155629854</c:v>
                </c:pt>
                <c:pt idx="13">
                  <c:v>4.909773270608305</c:v>
                </c:pt>
                <c:pt idx="14">
                  <c:v>4.6620242989825051</c:v>
                </c:pt>
                <c:pt idx="15">
                  <c:v>4.2650753236478565</c:v>
                </c:pt>
                <c:pt idx="16">
                  <c:v>3.7261482264136632</c:v>
                </c:pt>
                <c:pt idx="17">
                  <c:v>3.0514593674055632</c:v>
                </c:pt>
                <c:pt idx="18">
                  <c:v>2.2464247177092602</c:v>
                </c:pt>
                <c:pt idx="19">
                  <c:v>1.3158122232525997</c:v>
                </c:pt>
                <c:pt idx="20">
                  <c:v>0.26385738447294216</c:v>
                </c:pt>
                <c:pt idx="21">
                  <c:v>-0.90564744499283023</c:v>
                </c:pt>
                <c:pt idx="22">
                  <c:v>-2.1892829446502873</c:v>
                </c:pt>
                <c:pt idx="23">
                  <c:v>-3.5839469864362314</c:v>
                </c:pt>
                <c:pt idx="24">
                  <c:v>-5.0868095927214014</c:v>
                </c:pt>
                <c:pt idx="25">
                  <c:v>-6.695276188284268</c:v>
                </c:pt>
                <c:pt idx="26">
                  <c:v>-8.4069573092308048</c:v>
                </c:pt>
                <c:pt idx="27">
                  <c:v>-10.219643400570568</c:v>
                </c:pt>
                <c:pt idx="28">
                  <c:v>-12.13128366892164</c:v>
                </c:pt>
                <c:pt idx="29">
                  <c:v>-14.139968199662576</c:v>
                </c:pt>
                <c:pt idx="30">
                  <c:v>-16.243912726547876</c:v>
                </c:pt>
                <c:pt idx="31">
                  <c:v>-18.441445575020332</c:v>
                </c:pt>
                <c:pt idx="32">
                  <c:v>-20.73099640096698</c:v>
                </c:pt>
                <c:pt idx="33">
                  <c:v>-23.111086423344474</c:v>
                </c:pt>
                <c:pt idx="34">
                  <c:v>-25.580319908197694</c:v>
                </c:pt>
                <c:pt idx="35">
                  <c:v>-28.137376707578866</c:v>
                </c:pt>
                <c:pt idx="36">
                  <c:v>-30.781005692969615</c:v>
                </c:pt>
                <c:pt idx="37">
                  <c:v>-33.51001895137771</c:v>
                </c:pt>
                <c:pt idx="38">
                  <c:v>-36.323286635066609</c:v>
                </c:pt>
                <c:pt idx="39">
                  <c:v>-39.219732374179806</c:v>
                </c:pt>
                <c:pt idx="40">
                  <c:v>-42.198329176330915</c:v>
                </c:pt>
                <c:pt idx="41">
                  <c:v>-45.25809574928109</c:v>
                </c:pt>
                <c:pt idx="42">
                  <c:v>-48.398093192694276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F9-4F2A-BC61-9851FF982DD8}"/>
            </c:ext>
          </c:extLst>
        </c:ser>
        <c:ser>
          <c:idx val="5"/>
          <c:order val="5"/>
          <c:spPr>
            <a:ln>
              <a:solidFill>
                <a:srgbClr val="4BACC6">
                  <a:lumMod val="75000"/>
                </a:srgbClr>
              </a:solidFill>
              <a:prstDash val="lg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Sheet1!$AQ$4:$AQ$46</c:f>
              <c:numCache>
                <c:formatCode>General</c:formatCode>
                <c:ptCount val="43"/>
                <c:pt idx="0">
                  <c:v>-9.6022128294465023</c:v>
                </c:pt>
                <c:pt idx="1">
                  <c:v>-8.8406059999729791</c:v>
                </c:pt>
                <c:pt idx="2">
                  <c:v>-8.1670032868452704</c:v>
                </c:pt>
                <c:pt idx="3">
                  <c:v>-4.814007824111763</c:v>
                </c:pt>
                <c:pt idx="4">
                  <c:v>-2.1124601149012641</c:v>
                </c:pt>
                <c:pt idx="5">
                  <c:v>-0.11609615618692004</c:v>
                </c:pt>
                <c:pt idx="6">
                  <c:v>1.4263045051737837</c:v>
                </c:pt>
                <c:pt idx="7">
                  <c:v>2.6240914293812239</c:v>
                </c:pt>
                <c:pt idx="8">
                  <c:v>3.5386450808739713</c:v>
                </c:pt>
                <c:pt idx="9">
                  <c:v>4.209346517141789</c:v>
                </c:pt>
                <c:pt idx="10">
                  <c:v>4.6636732423803586</c:v>
                </c:pt>
                <c:pt idx="11">
                  <c:v>4.9219390908329537</c:v>
                </c:pt>
                <c:pt idx="12">
                  <c:v>4.9998118155629854</c:v>
                </c:pt>
                <c:pt idx="13">
                  <c:v>4.909773270608305</c:v>
                </c:pt>
                <c:pt idx="14">
                  <c:v>4.6620242989825051</c:v>
                </c:pt>
                <c:pt idx="15">
                  <c:v>4.2650753236478565</c:v>
                </c:pt>
                <c:pt idx="16">
                  <c:v>3.7261482264136632</c:v>
                </c:pt>
                <c:pt idx="17">
                  <c:v>3.0514593674055632</c:v>
                </c:pt>
                <c:pt idx="18">
                  <c:v>2.2464247177092602</c:v>
                </c:pt>
                <c:pt idx="19">
                  <c:v>1.3158122232525997</c:v>
                </c:pt>
                <c:pt idx="20">
                  <c:v>0.26385738447294216</c:v>
                </c:pt>
                <c:pt idx="21">
                  <c:v>-0.90564744499283023</c:v>
                </c:pt>
                <c:pt idx="22">
                  <c:v>-2.1892829446502873</c:v>
                </c:pt>
                <c:pt idx="23">
                  <c:v>-3.5839469864362314</c:v>
                </c:pt>
                <c:pt idx="24">
                  <c:v>-5.0868095927214014</c:v>
                </c:pt>
                <c:pt idx="25">
                  <c:v>-6.695276188284268</c:v>
                </c:pt>
                <c:pt idx="26">
                  <c:v>-8.4069573092308048</c:v>
                </c:pt>
                <c:pt idx="27">
                  <c:v>-10.219643400570568</c:v>
                </c:pt>
                <c:pt idx="28">
                  <c:v>-12.13128366892164</c:v>
                </c:pt>
                <c:pt idx="29">
                  <c:v>-14.139968199662576</c:v>
                </c:pt>
                <c:pt idx="30">
                  <c:v>-16.243912726547876</c:v>
                </c:pt>
                <c:pt idx="31">
                  <c:v>-18.441445575020332</c:v>
                </c:pt>
                <c:pt idx="32">
                  <c:v>-20.73099640096698</c:v>
                </c:pt>
                <c:pt idx="33">
                  <c:v>-23.111086423344474</c:v>
                </c:pt>
                <c:pt idx="34">
                  <c:v>-25.580319908197694</c:v>
                </c:pt>
                <c:pt idx="35">
                  <c:v>-28.137376707578866</c:v>
                </c:pt>
                <c:pt idx="36">
                  <c:v>-30.781005692969615</c:v>
                </c:pt>
                <c:pt idx="37">
                  <c:v>-33.51001895137771</c:v>
                </c:pt>
                <c:pt idx="38">
                  <c:v>-36.323286635066609</c:v>
                </c:pt>
                <c:pt idx="39">
                  <c:v>-39.219732374179806</c:v>
                </c:pt>
                <c:pt idx="40">
                  <c:v>-42.198329176330915</c:v>
                </c:pt>
                <c:pt idx="41">
                  <c:v>-45.25809574928109</c:v>
                </c:pt>
                <c:pt idx="42">
                  <c:v>-48.398093192694276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F9-4F2A-BC61-9851FF982DD8}"/>
            </c:ext>
          </c:extLst>
        </c:ser>
        <c:ser>
          <c:idx val="6"/>
          <c:order val="6"/>
          <c:tx>
            <c:v>TR0</c:v>
          </c:tx>
          <c:spPr>
            <a:ln>
              <a:solidFill>
                <a:prstClr val="black"/>
              </a:solidFill>
            </a:ln>
          </c:spPr>
          <c:marker>
            <c:symbol val="squar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Sheet1!$AU$4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F9-4F2A-BC61-9851FF982DD8}"/>
            </c:ext>
          </c:extLst>
        </c:ser>
        <c:ser>
          <c:idx val="7"/>
          <c:order val="7"/>
          <c:tx>
            <c:v>TR1</c:v>
          </c:tx>
          <c:spPr>
            <a:ln>
              <a:noFill/>
            </a:ln>
          </c:spPr>
          <c:marker>
            <c:symbol val="circl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Sheet1!$AV$4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F9-4F2A-BC61-9851FF982DD8}"/>
            </c:ext>
          </c:extLst>
        </c:ser>
        <c:ser>
          <c:idx val="8"/>
          <c:order val="8"/>
          <c:tx>
            <c:v>C0</c:v>
          </c:tx>
          <c:spPr>
            <a:ln>
              <a:noFill/>
            </a:ln>
          </c:spPr>
          <c:marker>
            <c:symbol val="squar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Sheet1!$AW$4</c:f>
              <c:numCache>
                <c:formatCode>General</c:formatCode>
                <c:ptCount val="1"/>
                <c:pt idx="0">
                  <c:v>20.000000000000004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7F9-4F2A-BC61-9851FF982DD8}"/>
            </c:ext>
          </c:extLst>
        </c:ser>
        <c:ser>
          <c:idx val="9"/>
          <c:order val="9"/>
          <c:tx>
            <c:v>C1</c:v>
          </c:tx>
          <c:spPr>
            <a:ln>
              <a:noFill/>
            </a:ln>
          </c:spPr>
          <c:marker>
            <c:symbol val="circl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Sheet1!$AX$4</c:f>
              <c:numCache>
                <c:formatCode>General</c:formatCode>
                <c:ptCount val="1"/>
                <c:pt idx="0">
                  <c:v>20.000000000000004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7F9-4F2A-BC61-9851FF982DD8}"/>
            </c:ext>
          </c:extLst>
        </c:ser>
        <c:ser>
          <c:idx val="10"/>
          <c:order val="10"/>
          <c:tx>
            <c:v>profit0</c:v>
          </c:tx>
          <c:spPr>
            <a:ln>
              <a:solidFill>
                <a:prstClr val="black"/>
              </a:solidFill>
            </a:ln>
          </c:spPr>
          <c:marker>
            <c:symbol val="squar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Sheet1!$AY$4</c:f>
              <c:numCache>
                <c:formatCode>General</c:formatCode>
                <c:ptCount val="1"/>
                <c:pt idx="0">
                  <c:v>4.9999999999999964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7F9-4F2A-BC61-9851FF982DD8}"/>
            </c:ext>
          </c:extLst>
        </c:ser>
        <c:ser>
          <c:idx val="11"/>
          <c:order val="11"/>
          <c:tx>
            <c:v>profit1</c:v>
          </c:tx>
          <c:spPr>
            <a:ln>
              <a:noFill/>
            </a:ln>
          </c:spPr>
          <c:marker>
            <c:symbol val="circle"/>
            <c:size val="5"/>
            <c:spPr>
              <a:noFill/>
              <a:ln>
                <a:solidFill>
                  <a:prstClr val="black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Sheet1!$AZ$4</c:f>
              <c:numCache>
                <c:formatCode>General</c:formatCode>
                <c:ptCount val="1"/>
                <c:pt idx="0">
                  <c:v>4.9999999999999964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7F9-4F2A-BC61-9851FF982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582944"/>
        <c:axId val="1620583488"/>
      </c:scatterChart>
      <c:valAx>
        <c:axId val="1620582944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q,</a:t>
                </a:r>
                <a:r>
                  <a:rPr lang="en-US" baseline="0"/>
                  <a:t> penawaran produsen individu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620583488"/>
        <c:crosses val="autoZero"/>
        <c:crossBetween val="midCat"/>
      </c:valAx>
      <c:valAx>
        <c:axId val="1620583488"/>
        <c:scaling>
          <c:orientation val="minMax"/>
          <c:max val="75"/>
          <c:min val="-25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Penerimaan, biaya dan profit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620582944"/>
        <c:crosses val="autoZero"/>
        <c:crossBetween val="midCat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53E-2"/>
          <c:w val="0.8329651424171558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74-4432-AA3B-C4F81AB0A311}"/>
            </c:ext>
          </c:extLst>
        </c:ser>
        <c:ser>
          <c:idx val="1"/>
          <c:order val="1"/>
          <c:spPr>
            <a:ln>
              <a:solidFill>
                <a:srgbClr val="C0504D">
                  <a:lumMod val="75000"/>
                </a:srgbClr>
              </a:solidFill>
              <a:prstDash val="lg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74-4432-AA3B-C4F81AB0A311}"/>
            </c:ext>
          </c:extLst>
        </c:ser>
        <c:ser>
          <c:idx val="2"/>
          <c:order val="2"/>
          <c:spPr>
            <a:ln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Sheet1!$AF$4:$AF$46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Sheet1!$AL$4:$AL$46</c:f>
              <c:numCache>
                <c:formatCode>General</c:formatCode>
                <c:ptCount val="43"/>
                <c:pt idx="0">
                  <c:v>125.00400000000002</c:v>
                </c:pt>
                <c:pt idx="1">
                  <c:v>42.769398666917425</c:v>
                </c:pt>
                <c:pt idx="2">
                  <c:v>26.970433625398545</c:v>
                </c:pt>
                <c:pt idx="3">
                  <c:v>9.4100787466009663</c:v>
                </c:pt>
                <c:pt idx="4">
                  <c:v>6.2019860420159745</c:v>
                </c:pt>
                <c:pt idx="5">
                  <c:v>5.0277440382608791</c:v>
                </c:pt>
                <c:pt idx="6">
                  <c:v>4.4550221727660819</c:v>
                </c:pt>
                <c:pt idx="7">
                  <c:v>4.1498026247371822</c:v>
                </c:pt>
                <c:pt idx="8">
                  <c:v>3.9893039586757064</c:v>
                </c:pt>
                <c:pt idx="9">
                  <c:v>3.9168924043088906</c:v>
                </c:pt>
                <c:pt idx="10">
                  <c:v>3.9025196866502414</c:v>
                </c:pt>
                <c:pt idx="11">
                  <c:v>3.9286373122043146</c:v>
                </c:pt>
                <c:pt idx="12">
                  <c:v>3.9842513149602503</c:v>
                </c:pt>
                <c:pt idx="13">
                  <c:v>4.0620937968196502</c:v>
                </c:pt>
                <c:pt idx="14">
                  <c:v>4.157151386045312</c:v>
                </c:pt>
                <c:pt idx="15">
                  <c:v>4.2658444333478922</c:v>
                </c:pt>
                <c:pt idx="16">
                  <c:v>4.3855428602546462</c:v>
                </c:pt>
                <c:pt idx="17">
                  <c:v>4.5142671606934499</c:v>
                </c:pt>
                <c:pt idx="18">
                  <c:v>4.650496510503995</c:v>
                </c:pt>
                <c:pt idx="19">
                  <c:v>4.7930415252733969</c:v>
                </c:pt>
                <c:pt idx="20">
                  <c:v>4.940957478618933</c:v>
                </c:pt>
                <c:pt idx="21">
                  <c:v>5.0934836480152121</c:v>
                </c:pt>
                <c:pt idx="22">
                  <c:v>5.2500000000000009</c:v>
                </c:pt>
                <c:pt idx="23">
                  <c:v>5.4099956628748291</c:v>
                </c:pt>
                <c:pt idx="24">
                  <c:v>5.5730455857458736</c:v>
                </c:pt>
                <c:pt idx="25">
                  <c:v>5.7387929925778787</c:v>
                </c:pt>
                <c:pt idx="26">
                  <c:v>5.906936009565225</c:v>
                </c:pt>
                <c:pt idx="27">
                  <c:v>6.0772173450159466</c:v>
                </c:pt>
                <c:pt idx="28">
                  <c:v>6.2494162337126085</c:v>
                </c:pt>
                <c:pt idx="29">
                  <c:v>6.423342082955668</c:v>
                </c:pt>
                <c:pt idx="30">
                  <c:v>6.5988294125726776</c:v>
                </c:pt>
                <c:pt idx="31">
                  <c:v>6.7757337896232341</c:v>
                </c:pt>
                <c:pt idx="32">
                  <c:v>6.9539285354611122</c:v>
                </c:pt>
                <c:pt idx="33">
                  <c:v>7.133302038115275</c:v>
                </c:pt>
                <c:pt idx="34">
                  <c:v>7.3137555431915198</c:v>
                </c:pt>
                <c:pt idx="35">
                  <c:v>7.4952013261117427</c:v>
                </c:pt>
                <c:pt idx="36">
                  <c:v>7.6775611705348101</c:v>
                </c:pt>
                <c:pt idx="37">
                  <c:v>7.8607650943482978</c:v>
                </c:pt>
                <c:pt idx="38">
                  <c:v>8.044750277162974</c:v>
                </c:pt>
                <c:pt idx="39">
                  <c:v>8.2294601528325355</c:v>
                </c:pt>
                <c:pt idx="40">
                  <c:v>8.4148436379145846</c:v>
                </c:pt>
                <c:pt idx="41">
                  <c:v>8.6008544727316671</c:v>
                </c:pt>
                <c:pt idx="42">
                  <c:v>8.7874506561842942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74-4432-AA3B-C4F81AB0A311}"/>
            </c:ext>
          </c:extLst>
        </c:ser>
        <c:ser>
          <c:idx val="3"/>
          <c:order val="3"/>
          <c:spPr>
            <a:ln>
              <a:solidFill>
                <a:schemeClr val="accent4"/>
              </a:solidFill>
              <a:prstDash val="lgDash"/>
            </a:ln>
          </c:spPr>
          <c:marker>
            <c:symbol val="none"/>
          </c:marker>
          <c:xVal>
            <c:numRef>
              <c:f>Sheet1!$AG$4:$AG$46</c:f>
              <c:numCache>
                <c:formatCode>General</c:formatCode>
                <c:ptCount val="43"/>
                <c:pt idx="0">
                  <c:v>7.9999999999999988E-2</c:v>
                </c:pt>
                <c:pt idx="1">
                  <c:v>0.23392141905702929</c:v>
                </c:pt>
                <c:pt idx="2">
                  <c:v>0.3713271066890223</c:v>
                </c:pt>
                <c:pt idx="3">
                  <c:v>1.0857670466379625</c:v>
                </c:pt>
                <c:pt idx="4">
                  <c:v>1.7235477520255069</c:v>
                </c:pt>
                <c:pt idx="5">
                  <c:v>2.2584864693144686</c:v>
                </c:pt>
                <c:pt idx="6">
                  <c:v>2.7359615146827161</c:v>
                </c:pt>
                <c:pt idx="7">
                  <c:v>3.1748021039363996</c:v>
                </c:pt>
                <c:pt idx="8">
                  <c:v>3.5851237972457319</c:v>
                </c:pt>
                <c:pt idx="9">
                  <c:v>3.9731535535170757</c:v>
                </c:pt>
                <c:pt idx="10">
                  <c:v>4.343068186551851</c:v>
                </c:pt>
                <c:pt idx="11">
                  <c:v>4.6978411694026363</c:v>
                </c:pt>
                <c:pt idx="12">
                  <c:v>5.0396841995794937</c:v>
                </c:pt>
                <c:pt idx="13">
                  <c:v>5.3702987556692561</c:v>
                </c:pt>
                <c:pt idx="14">
                  <c:v>5.6910292871841017</c:v>
                </c:pt>
                <c:pt idx="15">
                  <c:v>6.0029615009744628</c:v>
                </c:pt>
                <c:pt idx="16">
                  <c:v>6.3069881304841955</c:v>
                </c:pt>
                <c:pt idx="17">
                  <c:v>6.6038544977892544</c:v>
                </c:pt>
                <c:pt idx="18">
                  <c:v>6.8941910081020303</c:v>
                </c:pt>
                <c:pt idx="19">
                  <c:v>7.1785369054504082</c:v>
                </c:pt>
                <c:pt idx="20">
                  <c:v>7.4573580142892624</c:v>
                </c:pt>
                <c:pt idx="21">
                  <c:v>7.731060238252371</c:v>
                </c:pt>
                <c:pt idx="22">
                  <c:v>8.0000000000000018</c:v>
                </c:pt>
                <c:pt idx="23">
                  <c:v>8.2644924331720571</c:v>
                </c:pt>
                <c:pt idx="24">
                  <c:v>8.5248178941328892</c:v>
                </c:pt>
                <c:pt idx="25">
                  <c:v>8.7812271986000514</c:v>
                </c:pt>
                <c:pt idx="26">
                  <c:v>9.033945877257878</c:v>
                </c:pt>
                <c:pt idx="27">
                  <c:v>9.2831776672255604</c:v>
                </c:pt>
                <c:pt idx="28">
                  <c:v>9.5291074015714656</c:v>
                </c:pt>
                <c:pt idx="29">
                  <c:v>9.7719034197416672</c:v>
                </c:pt>
                <c:pt idx="30">
                  <c:v>10.01171959308156</c:v>
                </c:pt>
                <c:pt idx="31">
                  <c:v>10.248697038422096</c:v>
                </c:pt>
                <c:pt idx="32">
                  <c:v>10.482965576835587</c:v>
                </c:pt>
                <c:pt idx="33">
                  <c:v>10.714644982661975</c:v>
                </c:pt>
                <c:pt idx="34">
                  <c:v>10.943846058730863</c:v>
                </c:pt>
                <c:pt idx="35">
                  <c:v>11.170671566623387</c:v>
                </c:pt>
                <c:pt idx="36">
                  <c:v>11.395217035304521</c:v>
                </c:pt>
                <c:pt idx="37">
                  <c:v>11.61757146712741</c:v>
                </c:pt>
                <c:pt idx="38">
                  <c:v>11.837817956786262</c:v>
                </c:pt>
                <c:pt idx="39">
                  <c:v>12.056034236064132</c:v>
                </c:pt>
                <c:pt idx="40">
                  <c:v>12.272293155031331</c:v>
                </c:pt>
                <c:pt idx="41">
                  <c:v>12.486663108580357</c:v>
                </c:pt>
                <c:pt idx="42">
                  <c:v>12.699208415745598</c:v>
                </c:pt>
              </c:numCache>
            </c:numRef>
          </c:xVal>
          <c:yVal>
            <c:numRef>
              <c:f>Sheet1!$AM$4:$AM$46</c:f>
              <c:numCache>
                <c:formatCode>General</c:formatCode>
                <c:ptCount val="43"/>
                <c:pt idx="0">
                  <c:v>125.00400000000002</c:v>
                </c:pt>
                <c:pt idx="1">
                  <c:v>42.769398666917425</c:v>
                </c:pt>
                <c:pt idx="2">
                  <c:v>26.970433625398545</c:v>
                </c:pt>
                <c:pt idx="3">
                  <c:v>9.4100787466009663</c:v>
                </c:pt>
                <c:pt idx="4">
                  <c:v>6.2019860420159745</c:v>
                </c:pt>
                <c:pt idx="5">
                  <c:v>5.0277440382608791</c:v>
                </c:pt>
                <c:pt idx="6">
                  <c:v>4.4550221727660819</c:v>
                </c:pt>
                <c:pt idx="7">
                  <c:v>4.1498026247371822</c:v>
                </c:pt>
                <c:pt idx="8">
                  <c:v>3.9893039586757064</c:v>
                </c:pt>
                <c:pt idx="9">
                  <c:v>3.9168924043088906</c:v>
                </c:pt>
                <c:pt idx="10">
                  <c:v>3.9025196866502414</c:v>
                </c:pt>
                <c:pt idx="11">
                  <c:v>3.9286373122043146</c:v>
                </c:pt>
                <c:pt idx="12">
                  <c:v>3.9842513149602503</c:v>
                </c:pt>
                <c:pt idx="13">
                  <c:v>4.0620937968196502</c:v>
                </c:pt>
                <c:pt idx="14">
                  <c:v>4.157151386045312</c:v>
                </c:pt>
                <c:pt idx="15">
                  <c:v>4.2658444333478922</c:v>
                </c:pt>
                <c:pt idx="16">
                  <c:v>4.3855428602546462</c:v>
                </c:pt>
                <c:pt idx="17">
                  <c:v>4.5142671606934499</c:v>
                </c:pt>
                <c:pt idx="18">
                  <c:v>4.650496510503995</c:v>
                </c:pt>
                <c:pt idx="19">
                  <c:v>4.7930415252733969</c:v>
                </c:pt>
                <c:pt idx="20">
                  <c:v>4.940957478618933</c:v>
                </c:pt>
                <c:pt idx="21">
                  <c:v>5.0934836480152121</c:v>
                </c:pt>
                <c:pt idx="22">
                  <c:v>5.2500000000000009</c:v>
                </c:pt>
                <c:pt idx="23">
                  <c:v>5.4099956628748291</c:v>
                </c:pt>
                <c:pt idx="24">
                  <c:v>5.5730455857458736</c:v>
                </c:pt>
                <c:pt idx="25">
                  <c:v>5.7387929925778787</c:v>
                </c:pt>
                <c:pt idx="26">
                  <c:v>5.906936009565225</c:v>
                </c:pt>
                <c:pt idx="27">
                  <c:v>6.0772173450159466</c:v>
                </c:pt>
                <c:pt idx="28">
                  <c:v>6.2494162337126085</c:v>
                </c:pt>
                <c:pt idx="29">
                  <c:v>6.423342082955668</c:v>
                </c:pt>
                <c:pt idx="30">
                  <c:v>6.5988294125726776</c:v>
                </c:pt>
                <c:pt idx="31">
                  <c:v>6.7757337896232341</c:v>
                </c:pt>
                <c:pt idx="32">
                  <c:v>6.9539285354611122</c:v>
                </c:pt>
                <c:pt idx="33">
                  <c:v>7.133302038115275</c:v>
                </c:pt>
                <c:pt idx="34">
                  <c:v>7.3137555431915198</c:v>
                </c:pt>
                <c:pt idx="35">
                  <c:v>7.4952013261117427</c:v>
                </c:pt>
                <c:pt idx="36">
                  <c:v>7.6775611705348101</c:v>
                </c:pt>
                <c:pt idx="37">
                  <c:v>7.8607650943482978</c:v>
                </c:pt>
                <c:pt idx="38">
                  <c:v>8.044750277162974</c:v>
                </c:pt>
                <c:pt idx="39">
                  <c:v>8.2294601528325355</c:v>
                </c:pt>
                <c:pt idx="40">
                  <c:v>8.4148436379145846</c:v>
                </c:pt>
                <c:pt idx="41">
                  <c:v>8.6008544727316671</c:v>
                </c:pt>
                <c:pt idx="42">
                  <c:v>8.7874506561842942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74-4432-AA3B-C4F81AB0A311}"/>
            </c:ext>
          </c:extLst>
        </c:ser>
        <c:ser>
          <c:idx val="4"/>
          <c:order val="4"/>
          <c:tx>
            <c:v>qs0</c:v>
          </c:tx>
          <c:spPr>
            <a:ln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Sheet1!$BC$4</c:f>
              <c:numCache>
                <c:formatCode>General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74-4432-AA3B-C4F81AB0A311}"/>
            </c:ext>
          </c:extLst>
        </c:ser>
        <c:ser>
          <c:idx val="5"/>
          <c:order val="5"/>
          <c:tx>
            <c:v>qs1</c:v>
          </c:tx>
          <c:marker>
            <c:symbol val="circl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Sheet1!$BD$4</c:f>
              <c:numCache>
                <c:formatCode>General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74-4432-AA3B-C4F81AB0A311}"/>
            </c:ext>
          </c:extLst>
        </c:ser>
        <c:ser>
          <c:idx val="6"/>
          <c:order val="6"/>
          <c:tx>
            <c:v>ac0</c:v>
          </c:tx>
          <c:spPr>
            <a:ln>
              <a:noFill/>
            </a:ln>
          </c:spPr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Sheet1!$AS$4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Sheet1!$BA$4</c:f>
              <c:numCache>
                <c:formatCode>General</c:formatCode>
                <c:ptCount val="1"/>
                <c:pt idx="0">
                  <c:v>3.9810717055349727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174-4432-AA3B-C4F81AB0A311}"/>
            </c:ext>
          </c:extLst>
        </c:ser>
        <c:ser>
          <c:idx val="7"/>
          <c:order val="7"/>
          <c:tx>
            <c:v>ac1</c:v>
          </c:tx>
          <c:marker>
            <c:symbol val="circl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Sheet1!$AT$4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Sheet1!$BB$4</c:f>
              <c:numCache>
                <c:formatCode>General</c:formatCode>
                <c:ptCount val="1"/>
                <c:pt idx="0">
                  <c:v>3.9810717055349727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174-4432-AA3B-C4F81AB0A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592240"/>
        <c:axId val="1620590608"/>
      </c:scatterChart>
      <c:valAx>
        <c:axId val="1620592240"/>
        <c:scaling>
          <c:orientation val="minMax"/>
          <c:max val="1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q, penawaran</a:t>
                </a:r>
                <a:r>
                  <a:rPr lang="en-US" baseline="0"/>
                  <a:t> produsen individu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620590608"/>
        <c:crosses val="autoZero"/>
        <c:crossBetween val="midCat"/>
      </c:valAx>
      <c:valAx>
        <c:axId val="1620590608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price,</a:t>
                </a:r>
                <a:r>
                  <a:rPr lang="en-US" baseline="0"/>
                  <a:t> marginal cost, average cost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620592240"/>
        <c:crosses val="autoZero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39E-2"/>
          <c:w val="0.8329651424171558"/>
          <c:h val="0.78459597036722351"/>
        </c:manualLayout>
      </c:layout>
      <c:scatterChart>
        <c:scatterStyle val="smoothMarker"/>
        <c:varyColors val="0"/>
        <c:ser>
          <c:idx val="1"/>
          <c:order val="0"/>
          <c:spPr>
            <a:ln>
              <a:solidFill>
                <a:schemeClr val="accent3">
                  <a:lumMod val="7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Sheet1!$X$4:$X$46</c:f>
              <c:numCache>
                <c:formatCode>General</c:formatCode>
                <c:ptCount val="43"/>
                <c:pt idx="0">
                  <c:v>250000</c:v>
                </c:pt>
                <c:pt idx="1">
                  <c:v>50000</c:v>
                </c:pt>
                <c:pt idx="2">
                  <c:v>25000</c:v>
                </c:pt>
                <c:pt idx="3">
                  <c:v>5000</c:v>
                </c:pt>
                <c:pt idx="4">
                  <c:v>2500</c:v>
                </c:pt>
                <c:pt idx="5">
                  <c:v>1666.6666666666667</c:v>
                </c:pt>
                <c:pt idx="6">
                  <c:v>1250</c:v>
                </c:pt>
                <c:pt idx="7">
                  <c:v>1000</c:v>
                </c:pt>
                <c:pt idx="8">
                  <c:v>833.33333333333337</c:v>
                </c:pt>
                <c:pt idx="9">
                  <c:v>714.28571428571433</c:v>
                </c:pt>
                <c:pt idx="10">
                  <c:v>625</c:v>
                </c:pt>
                <c:pt idx="11">
                  <c:v>555.55555555555554</c:v>
                </c:pt>
                <c:pt idx="12">
                  <c:v>500</c:v>
                </c:pt>
                <c:pt idx="13">
                  <c:v>454.54545454545456</c:v>
                </c:pt>
                <c:pt idx="14">
                  <c:v>416.66666666666669</c:v>
                </c:pt>
                <c:pt idx="15">
                  <c:v>384.61538461538464</c:v>
                </c:pt>
                <c:pt idx="16">
                  <c:v>357.14285714285717</c:v>
                </c:pt>
                <c:pt idx="17">
                  <c:v>333.33333333333337</c:v>
                </c:pt>
                <c:pt idx="18">
                  <c:v>312.5</c:v>
                </c:pt>
                <c:pt idx="19">
                  <c:v>294.11764705882354</c:v>
                </c:pt>
                <c:pt idx="20">
                  <c:v>277.77777777777777</c:v>
                </c:pt>
                <c:pt idx="21">
                  <c:v>263.15789473684214</c:v>
                </c:pt>
                <c:pt idx="22">
                  <c:v>250</c:v>
                </c:pt>
                <c:pt idx="23">
                  <c:v>238.0952380952381</c:v>
                </c:pt>
                <c:pt idx="24">
                  <c:v>227.27272727272728</c:v>
                </c:pt>
                <c:pt idx="25">
                  <c:v>217.39130434782606</c:v>
                </c:pt>
                <c:pt idx="26">
                  <c:v>208.33333333333334</c:v>
                </c:pt>
                <c:pt idx="27">
                  <c:v>200</c:v>
                </c:pt>
                <c:pt idx="28">
                  <c:v>192.30769230769232</c:v>
                </c:pt>
                <c:pt idx="29">
                  <c:v>185.18518518518519</c:v>
                </c:pt>
                <c:pt idx="30">
                  <c:v>178.57142857142858</c:v>
                </c:pt>
                <c:pt idx="31">
                  <c:v>172.41379310344826</c:v>
                </c:pt>
                <c:pt idx="32">
                  <c:v>166.66666666666669</c:v>
                </c:pt>
                <c:pt idx="33">
                  <c:v>161.29032258064515</c:v>
                </c:pt>
                <c:pt idx="34">
                  <c:v>156.25</c:v>
                </c:pt>
                <c:pt idx="35">
                  <c:v>151.5151515151515</c:v>
                </c:pt>
                <c:pt idx="36">
                  <c:v>147.05882352941177</c:v>
                </c:pt>
                <c:pt idx="37">
                  <c:v>142.85714285714286</c:v>
                </c:pt>
                <c:pt idx="38">
                  <c:v>138.88888888888889</c:v>
                </c:pt>
                <c:pt idx="39">
                  <c:v>135.13513513513513</c:v>
                </c:pt>
                <c:pt idx="40">
                  <c:v>131.57894736842107</c:v>
                </c:pt>
                <c:pt idx="41">
                  <c:v>128.2051282051282</c:v>
                </c:pt>
                <c:pt idx="42">
                  <c:v>125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19-4A0B-AA8C-68CB4016A1DA}"/>
            </c:ext>
          </c:extLst>
        </c:ser>
        <c:ser>
          <c:idx val="7"/>
          <c:order val="1"/>
          <c:spPr>
            <a:ln>
              <a:solidFill>
                <a:prstClr val="black">
                  <a:lumMod val="50000"/>
                  <a:lumOff val="50000"/>
                </a:prstClr>
              </a:solidFill>
              <a:prstDash val="lgDash"/>
            </a:ln>
          </c:spPr>
          <c:marker>
            <c:symbol val="none"/>
          </c:marker>
          <c:xVal>
            <c:numRef>
              <c:f>Sheet1!$AI$4:$AI$46</c:f>
              <c:numCache>
                <c:formatCode>General</c:formatCode>
                <c:ptCount val="43"/>
                <c:pt idx="0">
                  <c:v>7.9999999999999991</c:v>
                </c:pt>
                <c:pt idx="1">
                  <c:v>23.392141905702928</c:v>
                </c:pt>
                <c:pt idx="2">
                  <c:v>37.132710668902227</c:v>
                </c:pt>
                <c:pt idx="3">
                  <c:v>108.57670466379625</c:v>
                </c:pt>
                <c:pt idx="4">
                  <c:v>172.35477520255068</c:v>
                </c:pt>
                <c:pt idx="5">
                  <c:v>225.84864693144686</c:v>
                </c:pt>
                <c:pt idx="6">
                  <c:v>273.59615146827161</c:v>
                </c:pt>
                <c:pt idx="7">
                  <c:v>317.48021039363994</c:v>
                </c:pt>
                <c:pt idx="8">
                  <c:v>358.51237972457318</c:v>
                </c:pt>
                <c:pt idx="9">
                  <c:v>397.31535535170758</c:v>
                </c:pt>
                <c:pt idx="10">
                  <c:v>434.30681865518511</c:v>
                </c:pt>
                <c:pt idx="11">
                  <c:v>469.78411694026363</c:v>
                </c:pt>
                <c:pt idx="12">
                  <c:v>503.96841995794938</c:v>
                </c:pt>
                <c:pt idx="13">
                  <c:v>537.02987556692563</c:v>
                </c:pt>
                <c:pt idx="14">
                  <c:v>569.10292871841023</c:v>
                </c:pt>
                <c:pt idx="15">
                  <c:v>600.29615009744623</c:v>
                </c:pt>
                <c:pt idx="16">
                  <c:v>630.69881304841954</c:v>
                </c:pt>
                <c:pt idx="17">
                  <c:v>660.38544977892548</c:v>
                </c:pt>
                <c:pt idx="18">
                  <c:v>689.41910081020308</c:v>
                </c:pt>
                <c:pt idx="19">
                  <c:v>717.85369054504088</c:v>
                </c:pt>
                <c:pt idx="20">
                  <c:v>745.73580142892627</c:v>
                </c:pt>
                <c:pt idx="21">
                  <c:v>773.10602382523712</c:v>
                </c:pt>
                <c:pt idx="22">
                  <c:v>800.00000000000023</c:v>
                </c:pt>
                <c:pt idx="23">
                  <c:v>826.44924331720574</c:v>
                </c:pt>
                <c:pt idx="24">
                  <c:v>852.48178941328888</c:v>
                </c:pt>
                <c:pt idx="25">
                  <c:v>878.12271986000519</c:v>
                </c:pt>
                <c:pt idx="26">
                  <c:v>903.3945877257878</c:v>
                </c:pt>
                <c:pt idx="27">
                  <c:v>928.31776672255603</c:v>
                </c:pt>
                <c:pt idx="28">
                  <c:v>952.91074015714662</c:v>
                </c:pt>
                <c:pt idx="29">
                  <c:v>977.1903419741667</c:v>
                </c:pt>
                <c:pt idx="30">
                  <c:v>1001.171959308156</c:v>
                </c:pt>
                <c:pt idx="31">
                  <c:v>1024.8697038422097</c:v>
                </c:pt>
                <c:pt idx="32">
                  <c:v>1048.2965576835588</c:v>
                </c:pt>
                <c:pt idx="33">
                  <c:v>1071.4644982661976</c:v>
                </c:pt>
                <c:pt idx="34">
                  <c:v>1094.3846058730862</c:v>
                </c:pt>
                <c:pt idx="35">
                  <c:v>1117.0671566623387</c:v>
                </c:pt>
                <c:pt idx="36">
                  <c:v>1139.521703530452</c:v>
                </c:pt>
                <c:pt idx="37">
                  <c:v>1161.7571467127411</c:v>
                </c:pt>
                <c:pt idx="38">
                  <c:v>1183.7817956786262</c:v>
                </c:pt>
                <c:pt idx="39">
                  <c:v>1205.6034236064131</c:v>
                </c:pt>
                <c:pt idx="40">
                  <c:v>1227.2293155031332</c:v>
                </c:pt>
                <c:pt idx="41">
                  <c:v>1248.6663108580358</c:v>
                </c:pt>
                <c:pt idx="42">
                  <c:v>1269.9208415745597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19-4A0B-AA8C-68CB4016A1DA}"/>
            </c:ext>
          </c:extLst>
        </c:ser>
        <c:ser>
          <c:idx val="6"/>
          <c:order val="2"/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xVal>
            <c:numRef>
              <c:f>Sheet1!$AH$4:$AH$46</c:f>
              <c:numCache>
                <c:formatCode>General</c:formatCode>
                <c:ptCount val="43"/>
                <c:pt idx="0">
                  <c:v>7.9999999999999991</c:v>
                </c:pt>
                <c:pt idx="1">
                  <c:v>23.392141905702928</c:v>
                </c:pt>
                <c:pt idx="2">
                  <c:v>37.132710668902227</c:v>
                </c:pt>
                <c:pt idx="3">
                  <c:v>108.57670466379625</c:v>
                </c:pt>
                <c:pt idx="4">
                  <c:v>172.35477520255068</c:v>
                </c:pt>
                <c:pt idx="5">
                  <c:v>225.84864693144686</c:v>
                </c:pt>
                <c:pt idx="6">
                  <c:v>273.59615146827161</c:v>
                </c:pt>
                <c:pt idx="7">
                  <c:v>317.48021039363994</c:v>
                </c:pt>
                <c:pt idx="8">
                  <c:v>358.51237972457318</c:v>
                </c:pt>
                <c:pt idx="9">
                  <c:v>397.31535535170758</c:v>
                </c:pt>
                <c:pt idx="10">
                  <c:v>434.30681865518511</c:v>
                </c:pt>
                <c:pt idx="11">
                  <c:v>469.78411694026363</c:v>
                </c:pt>
                <c:pt idx="12">
                  <c:v>503.96841995794938</c:v>
                </c:pt>
                <c:pt idx="13">
                  <c:v>537.02987556692563</c:v>
                </c:pt>
                <c:pt idx="14">
                  <c:v>569.10292871841023</c:v>
                </c:pt>
                <c:pt idx="15">
                  <c:v>600.29615009744623</c:v>
                </c:pt>
                <c:pt idx="16">
                  <c:v>630.69881304841954</c:v>
                </c:pt>
                <c:pt idx="17">
                  <c:v>660.38544977892548</c:v>
                </c:pt>
                <c:pt idx="18">
                  <c:v>689.41910081020308</c:v>
                </c:pt>
                <c:pt idx="19">
                  <c:v>717.85369054504088</c:v>
                </c:pt>
                <c:pt idx="20">
                  <c:v>745.73580142892627</c:v>
                </c:pt>
                <c:pt idx="21">
                  <c:v>773.10602382523712</c:v>
                </c:pt>
                <c:pt idx="22">
                  <c:v>800.00000000000023</c:v>
                </c:pt>
                <c:pt idx="23">
                  <c:v>826.44924331720574</c:v>
                </c:pt>
                <c:pt idx="24">
                  <c:v>852.48178941328888</c:v>
                </c:pt>
                <c:pt idx="25">
                  <c:v>878.12271986000519</c:v>
                </c:pt>
                <c:pt idx="26">
                  <c:v>903.3945877257878</c:v>
                </c:pt>
                <c:pt idx="27">
                  <c:v>928.31776672255603</c:v>
                </c:pt>
                <c:pt idx="28">
                  <c:v>952.91074015714662</c:v>
                </c:pt>
                <c:pt idx="29">
                  <c:v>977.1903419741667</c:v>
                </c:pt>
                <c:pt idx="30">
                  <c:v>1001.171959308156</c:v>
                </c:pt>
                <c:pt idx="31">
                  <c:v>1024.8697038422097</c:v>
                </c:pt>
                <c:pt idx="32">
                  <c:v>1048.2965576835588</c:v>
                </c:pt>
                <c:pt idx="33">
                  <c:v>1071.4644982661976</c:v>
                </c:pt>
                <c:pt idx="34">
                  <c:v>1094.3846058730862</c:v>
                </c:pt>
                <c:pt idx="35">
                  <c:v>1117.0671566623387</c:v>
                </c:pt>
                <c:pt idx="36">
                  <c:v>1139.521703530452</c:v>
                </c:pt>
                <c:pt idx="37">
                  <c:v>1161.7571467127411</c:v>
                </c:pt>
                <c:pt idx="38">
                  <c:v>1183.7817956786262</c:v>
                </c:pt>
                <c:pt idx="39">
                  <c:v>1205.6034236064131</c:v>
                </c:pt>
                <c:pt idx="40">
                  <c:v>1227.2293155031332</c:v>
                </c:pt>
                <c:pt idx="41">
                  <c:v>1248.6663108580358</c:v>
                </c:pt>
                <c:pt idx="42">
                  <c:v>1269.9208415745597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219-4A0B-AA8C-68CB4016A1DA}"/>
            </c:ext>
          </c:extLst>
        </c:ser>
        <c:ser>
          <c:idx val="4"/>
          <c:order val="3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Sheet1!$AD$4:$AD$5</c:f>
              <c:numCache>
                <c:formatCode>General</c:formatCode>
                <c:ptCount val="2"/>
                <c:pt idx="0">
                  <c:v>502.37728630191612</c:v>
                </c:pt>
                <c:pt idx="1">
                  <c:v>502.37728630191612</c:v>
                </c:pt>
              </c:numCache>
            </c:numRef>
          </c:xVal>
          <c:yVal>
            <c:numRef>
              <c:f>Sheet1!$AC$4:$AC$5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219-4A0B-AA8C-68CB4016A1DA}"/>
            </c:ext>
          </c:extLst>
        </c:ser>
        <c:ser>
          <c:idx val="0"/>
          <c:order val="4"/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Sheet1!$W$4:$W$46</c:f>
              <c:numCache>
                <c:formatCode>General</c:formatCode>
                <c:ptCount val="43"/>
                <c:pt idx="0">
                  <c:v>250000</c:v>
                </c:pt>
                <c:pt idx="1">
                  <c:v>50000</c:v>
                </c:pt>
                <c:pt idx="2">
                  <c:v>25000</c:v>
                </c:pt>
                <c:pt idx="3">
                  <c:v>5000</c:v>
                </c:pt>
                <c:pt idx="4">
                  <c:v>2500</c:v>
                </c:pt>
                <c:pt idx="5">
                  <c:v>1666.6666666666667</c:v>
                </c:pt>
                <c:pt idx="6">
                  <c:v>1250</c:v>
                </c:pt>
                <c:pt idx="7">
                  <c:v>1000</c:v>
                </c:pt>
                <c:pt idx="8">
                  <c:v>833.33333333333337</c:v>
                </c:pt>
                <c:pt idx="9">
                  <c:v>714.28571428571433</c:v>
                </c:pt>
                <c:pt idx="10">
                  <c:v>625</c:v>
                </c:pt>
                <c:pt idx="11">
                  <c:v>555.55555555555554</c:v>
                </c:pt>
                <c:pt idx="12">
                  <c:v>500</c:v>
                </c:pt>
                <c:pt idx="13">
                  <c:v>454.54545454545456</c:v>
                </c:pt>
                <c:pt idx="14">
                  <c:v>416.66666666666669</c:v>
                </c:pt>
                <c:pt idx="15">
                  <c:v>384.61538461538464</c:v>
                </c:pt>
                <c:pt idx="16">
                  <c:v>357.14285714285717</c:v>
                </c:pt>
                <c:pt idx="17">
                  <c:v>333.33333333333337</c:v>
                </c:pt>
                <c:pt idx="18">
                  <c:v>312.5</c:v>
                </c:pt>
                <c:pt idx="19">
                  <c:v>294.11764705882354</c:v>
                </c:pt>
                <c:pt idx="20">
                  <c:v>277.77777777777777</c:v>
                </c:pt>
                <c:pt idx="21">
                  <c:v>263.15789473684214</c:v>
                </c:pt>
                <c:pt idx="22">
                  <c:v>250</c:v>
                </c:pt>
                <c:pt idx="23">
                  <c:v>238.0952380952381</c:v>
                </c:pt>
                <c:pt idx="24">
                  <c:v>227.27272727272728</c:v>
                </c:pt>
                <c:pt idx="25">
                  <c:v>217.39130434782606</c:v>
                </c:pt>
                <c:pt idx="26">
                  <c:v>208.33333333333334</c:v>
                </c:pt>
                <c:pt idx="27">
                  <c:v>200</c:v>
                </c:pt>
                <c:pt idx="28">
                  <c:v>192.30769230769232</c:v>
                </c:pt>
                <c:pt idx="29">
                  <c:v>185.18518518518519</c:v>
                </c:pt>
                <c:pt idx="30">
                  <c:v>178.57142857142858</c:v>
                </c:pt>
                <c:pt idx="31">
                  <c:v>172.41379310344826</c:v>
                </c:pt>
                <c:pt idx="32">
                  <c:v>166.66666666666669</c:v>
                </c:pt>
                <c:pt idx="33">
                  <c:v>161.29032258064515</c:v>
                </c:pt>
                <c:pt idx="34">
                  <c:v>156.25</c:v>
                </c:pt>
                <c:pt idx="35">
                  <c:v>151.5151515151515</c:v>
                </c:pt>
                <c:pt idx="36">
                  <c:v>147.05882352941177</c:v>
                </c:pt>
                <c:pt idx="37">
                  <c:v>142.85714285714286</c:v>
                </c:pt>
                <c:pt idx="38">
                  <c:v>138.88888888888889</c:v>
                </c:pt>
                <c:pt idx="39">
                  <c:v>135.13513513513513</c:v>
                </c:pt>
                <c:pt idx="40">
                  <c:v>131.57894736842107</c:v>
                </c:pt>
                <c:pt idx="41">
                  <c:v>128.2051282051282</c:v>
                </c:pt>
                <c:pt idx="42">
                  <c:v>125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219-4A0B-AA8C-68CB4016A1DA}"/>
            </c:ext>
          </c:extLst>
        </c:ser>
        <c:ser>
          <c:idx val="2"/>
          <c:order val="5"/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Sheet1!$D$16</c:f>
              <c:numCache>
                <c:formatCode>0.00</c:formatCode>
                <c:ptCount val="1"/>
                <c:pt idx="0">
                  <c:v>502.37728630191612</c:v>
                </c:pt>
              </c:numCache>
            </c:numRef>
          </c:xVal>
          <c:yVal>
            <c:numRef>
              <c:f>Sheet1!$D$15</c:f>
              <c:numCache>
                <c:formatCode>0.00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219-4A0B-AA8C-68CB4016A1DA}"/>
            </c:ext>
          </c:extLst>
        </c:ser>
        <c:ser>
          <c:idx val="3"/>
          <c:order val="6"/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Sheet1!$E$16</c:f>
              <c:numCache>
                <c:formatCode>0.00</c:formatCode>
                <c:ptCount val="1"/>
                <c:pt idx="0">
                  <c:v>502.37728630191612</c:v>
                </c:pt>
              </c:numCache>
            </c:numRef>
          </c:xVal>
          <c:yVal>
            <c:numRef>
              <c:f>Sheet1!$E$15</c:f>
              <c:numCache>
                <c:formatCode>0.00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219-4A0B-AA8C-68CB4016A1DA}"/>
            </c:ext>
          </c:extLst>
        </c:ser>
        <c:ser>
          <c:idx val="5"/>
          <c:order val="7"/>
          <c:spPr>
            <a:ln w="12700">
              <a:solidFill>
                <a:prstClr val="black"/>
              </a:solidFill>
              <a:prstDash val="dash"/>
            </a:ln>
          </c:spPr>
          <c:marker>
            <c:symbol val="none"/>
          </c:marker>
          <c:xVal>
            <c:numRef>
              <c:f>Sheet1!$AE$4:$AE$5</c:f>
              <c:numCache>
                <c:formatCode>General</c:formatCode>
                <c:ptCount val="2"/>
                <c:pt idx="0">
                  <c:v>502.37728630191612</c:v>
                </c:pt>
                <c:pt idx="1">
                  <c:v>502.37728630191612</c:v>
                </c:pt>
              </c:numCache>
            </c:numRef>
          </c:xVal>
          <c:yVal>
            <c:numRef>
              <c:f>Sheet1!$AC$4:$AC$5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219-4A0B-AA8C-68CB4016A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593872"/>
        <c:axId val="1620591696"/>
      </c:scatterChart>
      <c:valAx>
        <c:axId val="1620593872"/>
        <c:scaling>
          <c:orientation val="minMax"/>
          <c:max val="10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</a:t>
                </a:r>
                <a:r>
                  <a:rPr lang="en-US" baseline="0"/>
                  <a:t>, permintaan dan penawaran pasar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620591696"/>
        <c:crosses val="autoZero"/>
        <c:crossBetween val="midCat"/>
      </c:valAx>
      <c:valAx>
        <c:axId val="1620591696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p, harga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620593872"/>
        <c:crosses val="autoZero"/>
        <c:crossBetween val="midCat"/>
      </c:valAx>
      <c:spPr>
        <a:solidFill>
          <a:schemeClr val="accent2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89" l="0.70000000000000062" r="0.70000000000000062" t="0.75000000000000089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25E-2"/>
          <c:w val="0.8329651424171558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Sheet1!$U$4:$U$46</c:f>
              <c:numCache>
                <c:formatCode>General</c:formatCode>
                <c:ptCount val="43"/>
                <c:pt idx="0">
                  <c:v>2500</c:v>
                </c:pt>
                <c:pt idx="1">
                  <c:v>500</c:v>
                </c:pt>
                <c:pt idx="2">
                  <c:v>250</c:v>
                </c:pt>
                <c:pt idx="3">
                  <c:v>50</c:v>
                </c:pt>
                <c:pt idx="4">
                  <c:v>25</c:v>
                </c:pt>
                <c:pt idx="5">
                  <c:v>16.666666666666668</c:v>
                </c:pt>
                <c:pt idx="6">
                  <c:v>12.5</c:v>
                </c:pt>
                <c:pt idx="7">
                  <c:v>10</c:v>
                </c:pt>
                <c:pt idx="8">
                  <c:v>8.3333333333333339</c:v>
                </c:pt>
                <c:pt idx="9">
                  <c:v>7.1428571428571432</c:v>
                </c:pt>
                <c:pt idx="10">
                  <c:v>6.25</c:v>
                </c:pt>
                <c:pt idx="11">
                  <c:v>5.5555555555555554</c:v>
                </c:pt>
                <c:pt idx="12">
                  <c:v>5</c:v>
                </c:pt>
                <c:pt idx="13">
                  <c:v>4.5454545454545459</c:v>
                </c:pt>
                <c:pt idx="14">
                  <c:v>4.166666666666667</c:v>
                </c:pt>
                <c:pt idx="15">
                  <c:v>3.8461538461538463</c:v>
                </c:pt>
                <c:pt idx="16">
                  <c:v>3.5714285714285716</c:v>
                </c:pt>
                <c:pt idx="17">
                  <c:v>3.3333333333333335</c:v>
                </c:pt>
                <c:pt idx="18">
                  <c:v>3.125</c:v>
                </c:pt>
                <c:pt idx="19">
                  <c:v>2.9411764705882355</c:v>
                </c:pt>
                <c:pt idx="20">
                  <c:v>2.7777777777777777</c:v>
                </c:pt>
                <c:pt idx="21">
                  <c:v>2.6315789473684212</c:v>
                </c:pt>
                <c:pt idx="22">
                  <c:v>2.5</c:v>
                </c:pt>
                <c:pt idx="23">
                  <c:v>2.3809523809523809</c:v>
                </c:pt>
                <c:pt idx="24">
                  <c:v>2.2727272727272729</c:v>
                </c:pt>
                <c:pt idx="25">
                  <c:v>2.1739130434782608</c:v>
                </c:pt>
                <c:pt idx="26">
                  <c:v>2.0833333333333335</c:v>
                </c:pt>
                <c:pt idx="27">
                  <c:v>2</c:v>
                </c:pt>
                <c:pt idx="28">
                  <c:v>1.9230769230769231</c:v>
                </c:pt>
                <c:pt idx="29">
                  <c:v>1.8518518518518519</c:v>
                </c:pt>
                <c:pt idx="30">
                  <c:v>1.7857142857142858</c:v>
                </c:pt>
                <c:pt idx="31">
                  <c:v>1.7241379310344827</c:v>
                </c:pt>
                <c:pt idx="32">
                  <c:v>1.6666666666666667</c:v>
                </c:pt>
                <c:pt idx="33">
                  <c:v>1.6129032258064515</c:v>
                </c:pt>
                <c:pt idx="34">
                  <c:v>1.5625</c:v>
                </c:pt>
                <c:pt idx="35">
                  <c:v>1.5151515151515151</c:v>
                </c:pt>
                <c:pt idx="36">
                  <c:v>1.4705882352941178</c:v>
                </c:pt>
                <c:pt idx="37">
                  <c:v>1.4285714285714286</c:v>
                </c:pt>
                <c:pt idx="38">
                  <c:v>1.3888888888888888</c:v>
                </c:pt>
                <c:pt idx="39">
                  <c:v>1.3513513513513513</c:v>
                </c:pt>
                <c:pt idx="40">
                  <c:v>1.3157894736842106</c:v>
                </c:pt>
                <c:pt idx="41">
                  <c:v>1.2820512820512822</c:v>
                </c:pt>
                <c:pt idx="42">
                  <c:v>1.25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D5C-4471-A1FC-AA50FA2DFD39}"/>
            </c:ext>
          </c:extLst>
        </c:ser>
        <c:ser>
          <c:idx val="1"/>
          <c:order val="1"/>
          <c:spPr>
            <a:ln>
              <a:solidFill>
                <a:schemeClr val="accent6">
                  <a:lumMod val="7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Sheet1!$V$4:$V$46</c:f>
              <c:numCache>
                <c:formatCode>General</c:formatCode>
                <c:ptCount val="43"/>
                <c:pt idx="0">
                  <c:v>2500</c:v>
                </c:pt>
                <c:pt idx="1">
                  <c:v>500</c:v>
                </c:pt>
                <c:pt idx="2">
                  <c:v>250</c:v>
                </c:pt>
                <c:pt idx="3">
                  <c:v>50</c:v>
                </c:pt>
                <c:pt idx="4">
                  <c:v>25</c:v>
                </c:pt>
                <c:pt idx="5">
                  <c:v>16.666666666666668</c:v>
                </c:pt>
                <c:pt idx="6">
                  <c:v>12.5</c:v>
                </c:pt>
                <c:pt idx="7">
                  <c:v>10</c:v>
                </c:pt>
                <c:pt idx="8">
                  <c:v>8.3333333333333339</c:v>
                </c:pt>
                <c:pt idx="9">
                  <c:v>7.1428571428571432</c:v>
                </c:pt>
                <c:pt idx="10">
                  <c:v>6.25</c:v>
                </c:pt>
                <c:pt idx="11">
                  <c:v>5.5555555555555554</c:v>
                </c:pt>
                <c:pt idx="12">
                  <c:v>5</c:v>
                </c:pt>
                <c:pt idx="13">
                  <c:v>4.5454545454545459</c:v>
                </c:pt>
                <c:pt idx="14">
                  <c:v>4.166666666666667</c:v>
                </c:pt>
                <c:pt idx="15">
                  <c:v>3.8461538461538463</c:v>
                </c:pt>
                <c:pt idx="16">
                  <c:v>3.5714285714285716</c:v>
                </c:pt>
                <c:pt idx="17">
                  <c:v>3.3333333333333335</c:v>
                </c:pt>
                <c:pt idx="18">
                  <c:v>3.125</c:v>
                </c:pt>
                <c:pt idx="19">
                  <c:v>2.9411764705882355</c:v>
                </c:pt>
                <c:pt idx="20">
                  <c:v>2.7777777777777777</c:v>
                </c:pt>
                <c:pt idx="21">
                  <c:v>2.6315789473684212</c:v>
                </c:pt>
                <c:pt idx="22">
                  <c:v>2.5</c:v>
                </c:pt>
                <c:pt idx="23">
                  <c:v>2.3809523809523809</c:v>
                </c:pt>
                <c:pt idx="24">
                  <c:v>2.2727272727272729</c:v>
                </c:pt>
                <c:pt idx="25">
                  <c:v>2.1739130434782608</c:v>
                </c:pt>
                <c:pt idx="26">
                  <c:v>2.0833333333333335</c:v>
                </c:pt>
                <c:pt idx="27">
                  <c:v>2</c:v>
                </c:pt>
                <c:pt idx="28">
                  <c:v>1.9230769230769231</c:v>
                </c:pt>
                <c:pt idx="29">
                  <c:v>1.8518518518518519</c:v>
                </c:pt>
                <c:pt idx="30">
                  <c:v>1.7857142857142858</c:v>
                </c:pt>
                <c:pt idx="31">
                  <c:v>1.7241379310344827</c:v>
                </c:pt>
                <c:pt idx="32">
                  <c:v>1.6666666666666667</c:v>
                </c:pt>
                <c:pt idx="33">
                  <c:v>1.6129032258064515</c:v>
                </c:pt>
                <c:pt idx="34">
                  <c:v>1.5625</c:v>
                </c:pt>
                <c:pt idx="35">
                  <c:v>1.5151515151515151</c:v>
                </c:pt>
                <c:pt idx="36">
                  <c:v>1.4705882352941178</c:v>
                </c:pt>
                <c:pt idx="37">
                  <c:v>1.4285714285714286</c:v>
                </c:pt>
                <c:pt idx="38">
                  <c:v>1.3888888888888888</c:v>
                </c:pt>
                <c:pt idx="39">
                  <c:v>1.3513513513513513</c:v>
                </c:pt>
                <c:pt idx="40">
                  <c:v>1.3157894736842106</c:v>
                </c:pt>
                <c:pt idx="41">
                  <c:v>1.2820512820512822</c:v>
                </c:pt>
                <c:pt idx="42">
                  <c:v>1.25</c:v>
                </c:pt>
              </c:numCache>
            </c:numRef>
          </c:xVal>
          <c:yVal>
            <c:numRef>
              <c:f>Sheet1!$T$4:$T$46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5C-4471-A1FC-AA50FA2DFD39}"/>
            </c:ext>
          </c:extLst>
        </c:ser>
        <c:ser>
          <c:idx val="2"/>
          <c:order val="2"/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Sheet1!$D$17</c:f>
              <c:numCache>
                <c:formatCode>0.00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Sheet1!$D$15</c:f>
              <c:numCache>
                <c:formatCode>0.00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5C-4471-A1FC-AA50FA2DFD39}"/>
            </c:ext>
          </c:extLst>
        </c:ser>
        <c:ser>
          <c:idx val="3"/>
          <c:order val="3"/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xVal>
            <c:numRef>
              <c:f>Sheet1!$E$17</c:f>
              <c:numCache>
                <c:formatCode>0.00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Sheet1!$E$15</c:f>
              <c:numCache>
                <c:formatCode>0.00</c:formatCode>
                <c:ptCount val="1"/>
                <c:pt idx="0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5C-4471-A1FC-AA50FA2D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514016"/>
        <c:axId val="1799508032"/>
      </c:scatterChart>
      <c:valAx>
        <c:axId val="1799514016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q, permintaan individu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799508032"/>
        <c:crosses val="autoZero"/>
        <c:crossBetween val="midCat"/>
      </c:valAx>
      <c:valAx>
        <c:axId val="1799508032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p,</a:t>
                </a:r>
                <a:r>
                  <a:rPr lang="en-US" baseline="0"/>
                  <a:t> harga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799514016"/>
        <c:crosses val="autoZero"/>
        <c:crossBetween val="midCat"/>
      </c:valAx>
      <c:spPr>
        <a:solidFill>
          <a:schemeClr val="accent4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11E-2"/>
          <c:w val="0.8329651424171558"/>
          <c:h val="0.733036530985147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Diagram!$Z$3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Sheet1!$G$4:$G$46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xVal>
          <c:yVal>
            <c:numRef>
              <c:f>Sheet1!$H$4:$H$46</c:f>
              <c:numCache>
                <c:formatCode>General</c:formatCode>
                <c:ptCount val="43"/>
                <c:pt idx="0">
                  <c:v>12559.432157547899</c:v>
                </c:pt>
                <c:pt idx="1">
                  <c:v>2511.8864315095802</c:v>
                </c:pt>
                <c:pt idx="2">
                  <c:v>1255.9432157547901</c:v>
                </c:pt>
                <c:pt idx="3">
                  <c:v>251.188643150958</c:v>
                </c:pt>
                <c:pt idx="4">
                  <c:v>125.59432157547901</c:v>
                </c:pt>
                <c:pt idx="5">
                  <c:v>83.729547716986033</c:v>
                </c:pt>
                <c:pt idx="6">
                  <c:v>62.7971607877395</c:v>
                </c:pt>
                <c:pt idx="7">
                  <c:v>50.237728630191597</c:v>
                </c:pt>
                <c:pt idx="8">
                  <c:v>41.864773858493002</c:v>
                </c:pt>
                <c:pt idx="9">
                  <c:v>35.884091878708297</c:v>
                </c:pt>
                <c:pt idx="10">
                  <c:v>31.398580393869754</c:v>
                </c:pt>
                <c:pt idx="11">
                  <c:v>27.909849238995339</c:v>
                </c:pt>
                <c:pt idx="12">
                  <c:v>25.118864315095802</c:v>
                </c:pt>
                <c:pt idx="13">
                  <c:v>22.835331195541634</c:v>
                </c:pt>
                <c:pt idx="14">
                  <c:v>20.932386929246508</c:v>
                </c:pt>
                <c:pt idx="15">
                  <c:v>19.322203319304467</c:v>
                </c:pt>
                <c:pt idx="16">
                  <c:v>17.942045939354141</c:v>
                </c:pt>
                <c:pt idx="17">
                  <c:v>16.7459095433972</c:v>
                </c:pt>
                <c:pt idx="18">
                  <c:v>15.699290196934875</c:v>
                </c:pt>
                <c:pt idx="19">
                  <c:v>14.775802538291646</c:v>
                </c:pt>
                <c:pt idx="20">
                  <c:v>13.954924619497669</c:v>
                </c:pt>
                <c:pt idx="21">
                  <c:v>13.220454902682004</c:v>
                </c:pt>
                <c:pt idx="22">
                  <c:v>12.559432157547899</c:v>
                </c:pt>
                <c:pt idx="23">
                  <c:v>11.961363959569429</c:v>
                </c:pt>
                <c:pt idx="24">
                  <c:v>11.417665597770821</c:v>
                </c:pt>
                <c:pt idx="25">
                  <c:v>10.921245354389479</c:v>
                </c:pt>
                <c:pt idx="26">
                  <c:v>10.466193464623251</c:v>
                </c:pt>
                <c:pt idx="27">
                  <c:v>10.047545726038322</c:v>
                </c:pt>
                <c:pt idx="28">
                  <c:v>9.6611016596522337</c:v>
                </c:pt>
                <c:pt idx="29">
                  <c:v>9.3032830796651123</c:v>
                </c:pt>
                <c:pt idx="30">
                  <c:v>8.9710229696770742</c:v>
                </c:pt>
                <c:pt idx="31">
                  <c:v>8.6616773500330346</c:v>
                </c:pt>
                <c:pt idx="32">
                  <c:v>8.3729547716986001</c:v>
                </c:pt>
                <c:pt idx="33">
                  <c:v>8.102859456482518</c:v>
                </c:pt>
                <c:pt idx="34">
                  <c:v>7.8496450984674384</c:v>
                </c:pt>
                <c:pt idx="35">
                  <c:v>7.6117770651805454</c:v>
                </c:pt>
                <c:pt idx="36">
                  <c:v>7.387901269145825</c:v>
                </c:pt>
                <c:pt idx="37">
                  <c:v>7.1768183757416564</c:v>
                </c:pt>
                <c:pt idx="38">
                  <c:v>6.9774623097488346</c:v>
                </c:pt>
                <c:pt idx="39">
                  <c:v>6.7888822473231905</c:v>
                </c:pt>
                <c:pt idx="40">
                  <c:v>6.6102274513410002</c:v>
                </c:pt>
                <c:pt idx="41">
                  <c:v>6.4407344397681534</c:v>
                </c:pt>
                <c:pt idx="42">
                  <c:v>6.2797160787739505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7B-4755-A19A-9D31D7A0E55A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zu1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  <a:prstDash val="lgDash"/>
            </a:ln>
          </c:spPr>
          <c:marker>
            <c:symbol val="none"/>
          </c:marker>
          <c:xVal>
            <c:numRef>
              <c:f>Sheet1!$G$4:$G$46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xVal>
          <c:yVal>
            <c:numRef>
              <c:f>Sheet1!$I$4:$I$46</c:f>
              <c:numCache>
                <c:formatCode>General</c:formatCode>
                <c:ptCount val="43"/>
                <c:pt idx="0">
                  <c:v>12559.432157547899</c:v>
                </c:pt>
                <c:pt idx="1">
                  <c:v>2511.8864315095802</c:v>
                </c:pt>
                <c:pt idx="2">
                  <c:v>1255.9432157547901</c:v>
                </c:pt>
                <c:pt idx="3">
                  <c:v>251.188643150958</c:v>
                </c:pt>
                <c:pt idx="4">
                  <c:v>125.59432157547901</c:v>
                </c:pt>
                <c:pt idx="5">
                  <c:v>83.729547716986033</c:v>
                </c:pt>
                <c:pt idx="6">
                  <c:v>62.7971607877395</c:v>
                </c:pt>
                <c:pt idx="7">
                  <c:v>50.237728630191597</c:v>
                </c:pt>
                <c:pt idx="8">
                  <c:v>41.864773858493002</c:v>
                </c:pt>
                <c:pt idx="9">
                  <c:v>35.884091878708297</c:v>
                </c:pt>
                <c:pt idx="10">
                  <c:v>31.398580393869754</c:v>
                </c:pt>
                <c:pt idx="11">
                  <c:v>27.909849238995339</c:v>
                </c:pt>
                <c:pt idx="12">
                  <c:v>25.118864315095802</c:v>
                </c:pt>
                <c:pt idx="13">
                  <c:v>22.835331195541634</c:v>
                </c:pt>
                <c:pt idx="14">
                  <c:v>20.932386929246508</c:v>
                </c:pt>
                <c:pt idx="15">
                  <c:v>19.322203319304467</c:v>
                </c:pt>
                <c:pt idx="16">
                  <c:v>17.942045939354141</c:v>
                </c:pt>
                <c:pt idx="17">
                  <c:v>16.7459095433972</c:v>
                </c:pt>
                <c:pt idx="18">
                  <c:v>15.699290196934875</c:v>
                </c:pt>
                <c:pt idx="19">
                  <c:v>14.775802538291646</c:v>
                </c:pt>
                <c:pt idx="20">
                  <c:v>13.954924619497669</c:v>
                </c:pt>
                <c:pt idx="21">
                  <c:v>13.220454902682004</c:v>
                </c:pt>
                <c:pt idx="22">
                  <c:v>12.559432157547899</c:v>
                </c:pt>
                <c:pt idx="23">
                  <c:v>11.961363959569429</c:v>
                </c:pt>
                <c:pt idx="24">
                  <c:v>11.417665597770821</c:v>
                </c:pt>
                <c:pt idx="25">
                  <c:v>10.921245354389479</c:v>
                </c:pt>
                <c:pt idx="26">
                  <c:v>10.466193464623251</c:v>
                </c:pt>
                <c:pt idx="27">
                  <c:v>10.047545726038322</c:v>
                </c:pt>
                <c:pt idx="28">
                  <c:v>9.6611016596522337</c:v>
                </c:pt>
                <c:pt idx="29">
                  <c:v>9.3032830796651123</c:v>
                </c:pt>
                <c:pt idx="30">
                  <c:v>8.9710229696770742</c:v>
                </c:pt>
                <c:pt idx="31">
                  <c:v>8.6616773500330346</c:v>
                </c:pt>
                <c:pt idx="32">
                  <c:v>8.3729547716986001</c:v>
                </c:pt>
                <c:pt idx="33">
                  <c:v>8.102859456482518</c:v>
                </c:pt>
                <c:pt idx="34">
                  <c:v>7.8496450984674384</c:v>
                </c:pt>
                <c:pt idx="35">
                  <c:v>7.6117770651805454</c:v>
                </c:pt>
                <c:pt idx="36">
                  <c:v>7.387901269145825</c:v>
                </c:pt>
                <c:pt idx="37">
                  <c:v>7.1768183757416564</c:v>
                </c:pt>
                <c:pt idx="38">
                  <c:v>6.9774623097488346</c:v>
                </c:pt>
                <c:pt idx="39">
                  <c:v>6.7888822473231905</c:v>
                </c:pt>
                <c:pt idx="40">
                  <c:v>6.6102274513410002</c:v>
                </c:pt>
                <c:pt idx="41">
                  <c:v>6.4407344397681534</c:v>
                </c:pt>
                <c:pt idx="42">
                  <c:v>6.2797160787739505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7B-4755-A19A-9D31D7A0E55A}"/>
            </c:ext>
          </c:extLst>
        </c:ser>
        <c:ser>
          <c:idx val="2"/>
          <c:order val="2"/>
          <c:tx>
            <c:strRef>
              <c:f>Sheet1!$J$3</c:f>
              <c:strCache>
                <c:ptCount val="1"/>
                <c:pt idx="0">
                  <c:v>zb0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Sheet1!$G$4:$G$46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xVal>
          <c:yVal>
            <c:numRef>
              <c:f>Sheet1!$J$4:$J$46</c:f>
              <c:numCache>
                <c:formatCode>General</c:formatCode>
                <c:ptCount val="43"/>
                <c:pt idx="0">
                  <c:v>49.950236603680814</c:v>
                </c:pt>
                <c:pt idx="1">
                  <c:v>49.751183018404063</c:v>
                </c:pt>
                <c:pt idx="2">
                  <c:v>49.502366036808127</c:v>
                </c:pt>
                <c:pt idx="3">
                  <c:v>47.51183018404064</c:v>
                </c:pt>
                <c:pt idx="4">
                  <c:v>45.023660368081288</c:v>
                </c:pt>
                <c:pt idx="5">
                  <c:v>42.535490552121928</c:v>
                </c:pt>
                <c:pt idx="6">
                  <c:v>40.047320736162568</c:v>
                </c:pt>
                <c:pt idx="7">
                  <c:v>37.559150920203209</c:v>
                </c:pt>
                <c:pt idx="8">
                  <c:v>35.070981104243856</c:v>
                </c:pt>
                <c:pt idx="9">
                  <c:v>32.582811288284496</c:v>
                </c:pt>
                <c:pt idx="10">
                  <c:v>30.09464147232514</c:v>
                </c:pt>
                <c:pt idx="11">
                  <c:v>27.606471656365784</c:v>
                </c:pt>
                <c:pt idx="12">
                  <c:v>25.118301840406424</c:v>
                </c:pt>
                <c:pt idx="13">
                  <c:v>22.630132024447068</c:v>
                </c:pt>
                <c:pt idx="14">
                  <c:v>20.141962208487712</c:v>
                </c:pt>
                <c:pt idx="15">
                  <c:v>17.653792392528352</c:v>
                </c:pt>
                <c:pt idx="16">
                  <c:v>15.165622576568992</c:v>
                </c:pt>
                <c:pt idx="17">
                  <c:v>12.67745276060964</c:v>
                </c:pt>
                <c:pt idx="18">
                  <c:v>10.18928294465028</c:v>
                </c:pt>
                <c:pt idx="19">
                  <c:v>7.7011131286909205</c:v>
                </c:pt>
                <c:pt idx="20">
                  <c:v>5.2129433127315679</c:v>
                </c:pt>
                <c:pt idx="21">
                  <c:v>2.7247734967722081</c:v>
                </c:pt>
                <c:pt idx="22">
                  <c:v>0.23660368081284844</c:v>
                </c:pt>
                <c:pt idx="23">
                  <c:v>-2.2515661351465042</c:v>
                </c:pt>
                <c:pt idx="24">
                  <c:v>-4.7397359511058639</c:v>
                </c:pt>
                <c:pt idx="25">
                  <c:v>-7.2279057670652236</c:v>
                </c:pt>
                <c:pt idx="26">
                  <c:v>-9.7160755830245762</c:v>
                </c:pt>
                <c:pt idx="27">
                  <c:v>-12.204245398983936</c:v>
                </c:pt>
                <c:pt idx="28">
                  <c:v>-14.692415214943296</c:v>
                </c:pt>
                <c:pt idx="29">
                  <c:v>-17.180585030902648</c:v>
                </c:pt>
                <c:pt idx="30">
                  <c:v>-19.668754846862015</c:v>
                </c:pt>
                <c:pt idx="31">
                  <c:v>-22.156924662821368</c:v>
                </c:pt>
                <c:pt idx="32">
                  <c:v>-24.64509447878072</c:v>
                </c:pt>
                <c:pt idx="33">
                  <c:v>-27.133264294740087</c:v>
                </c:pt>
                <c:pt idx="34">
                  <c:v>-29.62143411069944</c:v>
                </c:pt>
                <c:pt idx="35">
                  <c:v>-32.109603926658792</c:v>
                </c:pt>
                <c:pt idx="36">
                  <c:v>-34.597773742618159</c:v>
                </c:pt>
                <c:pt idx="37">
                  <c:v>-37.085943558577512</c:v>
                </c:pt>
                <c:pt idx="38">
                  <c:v>-39.574113374536864</c:v>
                </c:pt>
                <c:pt idx="39">
                  <c:v>-42.062283190496231</c:v>
                </c:pt>
                <c:pt idx="40">
                  <c:v>-44.550453006455584</c:v>
                </c:pt>
                <c:pt idx="41">
                  <c:v>-47.038622822414936</c:v>
                </c:pt>
                <c:pt idx="42">
                  <c:v>-49.526792638374303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7B-4755-A19A-9D31D7A0E55A}"/>
            </c:ext>
          </c:extLst>
        </c:ser>
        <c:ser>
          <c:idx val="3"/>
          <c:order val="3"/>
          <c:tx>
            <c:strRef>
              <c:f>Sheet1!$K$3</c:f>
              <c:strCache>
                <c:ptCount val="1"/>
                <c:pt idx="0">
                  <c:v>zb1</c:v>
                </c:pt>
              </c:strCache>
            </c:strRef>
          </c:tx>
          <c:spPr>
            <a:ln w="127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Sheet1!$G$4:$G$46</c:f>
              <c:numCache>
                <c:formatCode>General</c:formatCode>
                <c:ptCount val="43"/>
                <c:pt idx="0">
                  <c:v>0.01</c:v>
                </c:pt>
                <c:pt idx="1">
                  <c:v>0.05</c:v>
                </c:pt>
                <c:pt idx="2">
                  <c:v>0.1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3.5</c:v>
                </c:pt>
                <c:pt idx="10">
                  <c:v>4</c:v>
                </c:pt>
                <c:pt idx="11">
                  <c:v>4.5</c:v>
                </c:pt>
                <c:pt idx="12">
                  <c:v>5</c:v>
                </c:pt>
                <c:pt idx="13">
                  <c:v>5.5</c:v>
                </c:pt>
                <c:pt idx="14">
                  <c:v>6</c:v>
                </c:pt>
                <c:pt idx="15">
                  <c:v>6.5</c:v>
                </c:pt>
                <c:pt idx="16">
                  <c:v>7</c:v>
                </c:pt>
                <c:pt idx="17">
                  <c:v>7.5</c:v>
                </c:pt>
                <c:pt idx="18">
                  <c:v>8</c:v>
                </c:pt>
                <c:pt idx="19">
                  <c:v>8.5</c:v>
                </c:pt>
                <c:pt idx="20">
                  <c:v>9</c:v>
                </c:pt>
                <c:pt idx="21">
                  <c:v>9.5</c:v>
                </c:pt>
                <c:pt idx="22">
                  <c:v>10</c:v>
                </c:pt>
                <c:pt idx="23">
                  <c:v>10.5</c:v>
                </c:pt>
                <c:pt idx="24">
                  <c:v>11</c:v>
                </c:pt>
                <c:pt idx="25">
                  <c:v>11.5</c:v>
                </c:pt>
                <c:pt idx="26">
                  <c:v>12</c:v>
                </c:pt>
                <c:pt idx="27">
                  <c:v>12.5</c:v>
                </c:pt>
                <c:pt idx="28">
                  <c:v>13</c:v>
                </c:pt>
                <c:pt idx="29">
                  <c:v>13.5</c:v>
                </c:pt>
                <c:pt idx="30">
                  <c:v>14</c:v>
                </c:pt>
                <c:pt idx="31">
                  <c:v>14.5</c:v>
                </c:pt>
                <c:pt idx="32">
                  <c:v>15</c:v>
                </c:pt>
                <c:pt idx="33">
                  <c:v>15.5</c:v>
                </c:pt>
                <c:pt idx="34">
                  <c:v>16</c:v>
                </c:pt>
                <c:pt idx="35">
                  <c:v>16.5</c:v>
                </c:pt>
                <c:pt idx="36">
                  <c:v>17</c:v>
                </c:pt>
                <c:pt idx="37">
                  <c:v>17.5</c:v>
                </c:pt>
                <c:pt idx="38">
                  <c:v>18</c:v>
                </c:pt>
                <c:pt idx="39">
                  <c:v>18.5</c:v>
                </c:pt>
                <c:pt idx="40">
                  <c:v>19</c:v>
                </c:pt>
                <c:pt idx="41">
                  <c:v>19.5</c:v>
                </c:pt>
                <c:pt idx="42">
                  <c:v>20</c:v>
                </c:pt>
              </c:numCache>
            </c:numRef>
          </c:xVal>
          <c:yVal>
            <c:numRef>
              <c:f>Sheet1!$K$4:$K$46</c:f>
              <c:numCache>
                <c:formatCode>General</c:formatCode>
                <c:ptCount val="43"/>
                <c:pt idx="0">
                  <c:v>49.950236603680814</c:v>
                </c:pt>
                <c:pt idx="1">
                  <c:v>49.751183018404063</c:v>
                </c:pt>
                <c:pt idx="2">
                  <c:v>49.502366036808127</c:v>
                </c:pt>
                <c:pt idx="3">
                  <c:v>47.51183018404064</c:v>
                </c:pt>
                <c:pt idx="4">
                  <c:v>45.023660368081288</c:v>
                </c:pt>
                <c:pt idx="5">
                  <c:v>42.535490552121928</c:v>
                </c:pt>
                <c:pt idx="6">
                  <c:v>40.047320736162568</c:v>
                </c:pt>
                <c:pt idx="7">
                  <c:v>37.559150920203209</c:v>
                </c:pt>
                <c:pt idx="8">
                  <c:v>35.070981104243856</c:v>
                </c:pt>
                <c:pt idx="9">
                  <c:v>32.582811288284496</c:v>
                </c:pt>
                <c:pt idx="10">
                  <c:v>30.09464147232514</c:v>
                </c:pt>
                <c:pt idx="11">
                  <c:v>27.606471656365784</c:v>
                </c:pt>
                <c:pt idx="12">
                  <c:v>25.118301840406424</c:v>
                </c:pt>
                <c:pt idx="13">
                  <c:v>22.630132024447068</c:v>
                </c:pt>
                <c:pt idx="14">
                  <c:v>20.141962208487712</c:v>
                </c:pt>
                <c:pt idx="15">
                  <c:v>17.653792392528352</c:v>
                </c:pt>
                <c:pt idx="16">
                  <c:v>15.165622576568992</c:v>
                </c:pt>
                <c:pt idx="17">
                  <c:v>12.67745276060964</c:v>
                </c:pt>
                <c:pt idx="18">
                  <c:v>10.18928294465028</c:v>
                </c:pt>
                <c:pt idx="19">
                  <c:v>7.7011131286909205</c:v>
                </c:pt>
                <c:pt idx="20">
                  <c:v>5.2129433127315679</c:v>
                </c:pt>
                <c:pt idx="21">
                  <c:v>2.7247734967722081</c:v>
                </c:pt>
                <c:pt idx="22">
                  <c:v>0.23660368081284844</c:v>
                </c:pt>
                <c:pt idx="23">
                  <c:v>-2.2515661351465042</c:v>
                </c:pt>
                <c:pt idx="24">
                  <c:v>-4.7397359511058639</c:v>
                </c:pt>
                <c:pt idx="25">
                  <c:v>-7.2279057670652236</c:v>
                </c:pt>
                <c:pt idx="26">
                  <c:v>-9.7160755830245762</c:v>
                </c:pt>
                <c:pt idx="27">
                  <c:v>-12.204245398983936</c:v>
                </c:pt>
                <c:pt idx="28">
                  <c:v>-14.692415214943296</c:v>
                </c:pt>
                <c:pt idx="29">
                  <c:v>-17.180585030902648</c:v>
                </c:pt>
                <c:pt idx="30">
                  <c:v>-19.668754846862015</c:v>
                </c:pt>
                <c:pt idx="31">
                  <c:v>-22.156924662821368</c:v>
                </c:pt>
                <c:pt idx="32">
                  <c:v>-24.64509447878072</c:v>
                </c:pt>
                <c:pt idx="33">
                  <c:v>-27.133264294740087</c:v>
                </c:pt>
                <c:pt idx="34">
                  <c:v>-29.62143411069944</c:v>
                </c:pt>
                <c:pt idx="35">
                  <c:v>-32.109603926658792</c:v>
                </c:pt>
                <c:pt idx="36">
                  <c:v>-34.597773742618159</c:v>
                </c:pt>
                <c:pt idx="37">
                  <c:v>-37.085943558577512</c:v>
                </c:pt>
                <c:pt idx="38">
                  <c:v>-39.574113374536864</c:v>
                </c:pt>
                <c:pt idx="39">
                  <c:v>-42.062283190496231</c:v>
                </c:pt>
                <c:pt idx="40">
                  <c:v>-44.550453006455584</c:v>
                </c:pt>
                <c:pt idx="41">
                  <c:v>-47.038622822414936</c:v>
                </c:pt>
                <c:pt idx="42">
                  <c:v>-49.526792638374303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7B-4755-A19A-9D31D7A0E55A}"/>
            </c:ext>
          </c:extLst>
        </c:ser>
        <c:ser>
          <c:idx val="5"/>
          <c:order val="4"/>
          <c:marker>
            <c:symbol val="none"/>
          </c:marker>
          <c:dPt>
            <c:idx val="1"/>
            <c:bubble3D val="0"/>
            <c:spPr>
              <a:ln w="12700">
                <a:solidFill>
                  <a:prstClr val="black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17B-4755-A19A-9D31D7A0E55A}"/>
              </c:ext>
            </c:extLst>
          </c:dPt>
          <c:xVal>
            <c:numRef>
              <c:f>Sheet1!$O$4:$O$5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xVal>
          <c:yVal>
            <c:numRef>
              <c:f>Sheet1!$N$4:$N$5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17B-4755-A19A-9D31D7A0E55A}"/>
            </c:ext>
          </c:extLst>
        </c:ser>
        <c:ser>
          <c:idx val="7"/>
          <c:order val="5"/>
          <c:marker>
            <c:symbol val="none"/>
          </c:marker>
          <c:dPt>
            <c:idx val="1"/>
            <c:bubble3D val="0"/>
            <c:spPr>
              <a:ln w="12700">
                <a:solidFill>
                  <a:prstClr val="black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8-117B-4755-A19A-9D31D7A0E55A}"/>
              </c:ext>
            </c:extLst>
          </c:dPt>
          <c:xVal>
            <c:numRef>
              <c:f>Sheet1!$S$4:$S$5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xVal>
          <c:yVal>
            <c:numRef>
              <c:f>Sheet1!$R$4:$R$5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17B-4755-A19A-9D31D7A0E55A}"/>
            </c:ext>
          </c:extLst>
        </c:ser>
        <c:ser>
          <c:idx val="8"/>
          <c:order val="6"/>
          <c:tx>
            <c:v>a</c:v>
          </c:tx>
          <c:spPr>
            <a:ln>
              <a:noFill/>
            </a:ln>
          </c:spPr>
          <c:marker>
            <c:symbol val="square"/>
            <c:size val="5"/>
            <c:spPr>
              <a:noFill/>
              <a:ln>
                <a:solidFill>
                  <a:schemeClr val="tx1"/>
                </a:solidFill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17B-4755-A19A-9D31D7A0E55A}"/>
                </c:ext>
              </c:extLst>
            </c:dLbl>
            <c:spPr>
              <a:solidFill>
                <a:schemeClr val="bg1"/>
              </a:solidFill>
            </c:spPr>
            <c:txPr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Sheet1!$L$4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Sheet1!$N$4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17B-4755-A19A-9D31D7A0E55A}"/>
            </c:ext>
          </c:extLst>
        </c:ser>
        <c:ser>
          <c:idx val="9"/>
          <c:order val="7"/>
          <c:tx>
            <c:v>b</c:v>
          </c:tx>
          <c:marker>
            <c:symbol val="square"/>
            <c:size val="5"/>
            <c:spPr>
              <a:noFill/>
              <a:ln>
                <a:solidFill>
                  <a:sysClr val="windowText" lastClr="000000"/>
                </a:solidFill>
              </a:ln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17B-4755-A19A-9D31D7A0E55A}"/>
                </c:ext>
              </c:extLst>
            </c:dLbl>
            <c:spPr>
              <a:solidFill>
                <a:sysClr val="window" lastClr="FFFFFF"/>
              </a:solidFill>
            </c:spPr>
            <c:txPr>
              <a:bodyPr/>
              <a:lstStyle/>
              <a:p>
                <a:pPr>
                  <a:defRPr>
                    <a:solidFill>
                      <a:srgbClr val="FF0000"/>
                    </a:solidFill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Sheet1!$P$4</c:f>
              <c:numCache>
                <c:formatCode>General</c:formatCode>
                <c:ptCount val="1"/>
                <c:pt idx="0">
                  <c:v>5.0237728630191612</c:v>
                </c:pt>
              </c:numCache>
            </c:numRef>
          </c:xVal>
          <c:yVal>
            <c:numRef>
              <c:f>Sheet1!$R$4</c:f>
              <c:numCache>
                <c:formatCode>General</c:formatCode>
                <c:ptCount val="1"/>
                <c:pt idx="0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17B-4755-A19A-9D31D7A0E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512384"/>
        <c:axId val="1799510752"/>
      </c:scatterChart>
      <c:valAx>
        <c:axId val="1799512384"/>
        <c:scaling>
          <c:orientation val="minMax"/>
          <c:max val="2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q, permintaan</a:t>
                </a:r>
                <a:r>
                  <a:rPr lang="en-US" baseline="0"/>
                  <a:t> individu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799510752"/>
        <c:crosses val="autoZero"/>
        <c:crossBetween val="midCat"/>
      </c:valAx>
      <c:valAx>
        <c:axId val="1799510752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z,</a:t>
                </a:r>
                <a:r>
                  <a:rPr lang="en-US" baseline="0"/>
                  <a:t> kuantitas barang lain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crossAx val="1799512384"/>
        <c:crosses val="autoZero"/>
        <c:crossBetween val="midCat"/>
      </c:valAx>
      <c:spPr>
        <a:solidFill>
          <a:schemeClr val="accent6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5.4502491536384166E-2"/>
          <c:w val="0.8329651424171558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prstClr val="black"/>
              </a:solidFill>
            </a:ln>
          </c:spPr>
          <c:marker>
            <c:symbol val="none"/>
          </c:marker>
          <c:xVal>
            <c:numRef>
              <c:f>Sheet1!$AS$4:$AS$5</c:f>
              <c:numCache>
                <c:formatCode>General</c:formatCode>
                <c:ptCount val="2"/>
                <c:pt idx="0">
                  <c:v>5.0237728630191612</c:v>
                </c:pt>
                <c:pt idx="1">
                  <c:v>5.0237728630191612</c:v>
                </c:pt>
              </c:numCache>
            </c:numRef>
          </c:xVal>
          <c:yVal>
            <c:numRef>
              <c:f>Sheet1!$AR$4:$AR$5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63-4372-B560-2612C3D36B00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Sheet1!$AT$4:$AT$5</c:f>
              <c:numCache>
                <c:formatCode>General</c:formatCode>
                <c:ptCount val="2"/>
                <c:pt idx="0">
                  <c:v>5.0237728630191612</c:v>
                </c:pt>
                <c:pt idx="1">
                  <c:v>5.0237728630191612</c:v>
                </c:pt>
              </c:numCache>
            </c:numRef>
          </c:xVal>
          <c:yVal>
            <c:numRef>
              <c:f>Sheet1!$AR$4:$AR$5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63-4372-B560-2612C3D36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512928"/>
        <c:axId val="1799509120"/>
      </c:scatterChart>
      <c:valAx>
        <c:axId val="1799512928"/>
        <c:scaling>
          <c:orientation val="minMax"/>
          <c:max val="10"/>
        </c:scaling>
        <c:delete val="1"/>
        <c:axPos val="b"/>
        <c:numFmt formatCode="General" sourceLinked="1"/>
        <c:majorTickMark val="out"/>
        <c:minorTickMark val="none"/>
        <c:tickLblPos val="none"/>
        <c:crossAx val="1799509120"/>
        <c:crosses val="autoZero"/>
        <c:crossBetween val="midCat"/>
      </c:valAx>
      <c:valAx>
        <c:axId val="1799509120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cross"/>
        <c:minorTickMark val="none"/>
        <c:tickLblPos val="none"/>
        <c:crossAx val="1799512928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18080378215216"/>
          <c:y val="2.5329078714723247E-2"/>
          <c:w val="0.8329651424171558"/>
          <c:h val="0.81376931688508436"/>
        </c:manualLayout>
      </c:layout>
      <c:scatterChart>
        <c:scatterStyle val="smoothMarker"/>
        <c:varyColors val="0"/>
        <c:ser>
          <c:idx val="0"/>
          <c:order val="0"/>
          <c:spPr>
            <a:ln>
              <a:solidFill>
                <a:prstClr val="black"/>
              </a:solidFill>
            </a:ln>
          </c:spPr>
          <c:marker>
            <c:symbol val="none"/>
          </c:marker>
          <c:dPt>
            <c:idx val="1"/>
            <c:bubble3D val="0"/>
            <c:spPr>
              <a:ln w="12700">
                <a:solidFill>
                  <a:prstClr val="black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659-495D-BFC3-04B57A9B882B}"/>
              </c:ext>
            </c:extLst>
          </c:dPt>
          <c:xVal>
            <c:numRef>
              <c:f>Sheet1!$L$4:$L$5</c:f>
              <c:numCache>
                <c:formatCode>General</c:formatCode>
                <c:ptCount val="2"/>
                <c:pt idx="0">
                  <c:v>5.0237728630191612</c:v>
                </c:pt>
                <c:pt idx="1">
                  <c:v>5.0237728630191612</c:v>
                </c:pt>
              </c:numCache>
            </c:numRef>
          </c:xVal>
          <c:yVal>
            <c:numRef>
              <c:f>Sheet1!$M$4:$M$5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59-495D-BFC3-04B57A9B882B}"/>
            </c:ext>
          </c:extLst>
        </c:ser>
        <c:ser>
          <c:idx val="1"/>
          <c:order val="1"/>
          <c:tx>
            <c:strRef>
              <c:f>Sheet1!$P$4:$P$5</c:f>
              <c:strCache>
                <c:ptCount val="2"/>
                <c:pt idx="0">
                  <c:v>5.023772863</c:v>
                </c:pt>
                <c:pt idx="1">
                  <c:v>5.023772863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 w="12700">
                <a:solidFill>
                  <a:schemeClr val="tx1"/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4-B659-495D-BFC3-04B57A9B882B}"/>
              </c:ext>
            </c:extLst>
          </c:dPt>
          <c:xVal>
            <c:numRef>
              <c:f>Sheet1!$P$4:$P$5</c:f>
              <c:numCache>
                <c:formatCode>General</c:formatCode>
                <c:ptCount val="2"/>
                <c:pt idx="0">
                  <c:v>5.0237728630191612</c:v>
                </c:pt>
                <c:pt idx="1">
                  <c:v>5.0237728630191612</c:v>
                </c:pt>
              </c:numCache>
            </c:numRef>
          </c:xVal>
          <c:yVal>
            <c:numRef>
              <c:f>Sheet1!$Q$4:$Q$5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659-495D-BFC3-04B57A9B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247552"/>
        <c:axId val="1802249728"/>
      </c:scatterChart>
      <c:valAx>
        <c:axId val="1802247552"/>
        <c:scaling>
          <c:orientation val="minMax"/>
          <c:max val="20"/>
        </c:scaling>
        <c:delete val="1"/>
        <c:axPos val="b"/>
        <c:numFmt formatCode="General" sourceLinked="1"/>
        <c:majorTickMark val="cross"/>
        <c:minorTickMark val="none"/>
        <c:tickLblPos val="none"/>
        <c:crossAx val="1802249728"/>
        <c:crosses val="autoZero"/>
        <c:crossBetween val="midCat"/>
      </c:valAx>
      <c:valAx>
        <c:axId val="1802249728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cross"/>
        <c:minorTickMark val="none"/>
        <c:tickLblPos val="none"/>
        <c:crossAx val="1802247552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2886029996883481E-2"/>
          <c:y val="5.4502491536384153E-2"/>
          <c:w val="0.93525991788885521"/>
          <c:h val="0.7845959703672235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Sheet1!$Z$4:$Z$5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Sheet1!$Y$4:$Y$5</c:f>
              <c:numCache>
                <c:formatCode>General</c:formatCode>
                <c:ptCount val="2"/>
                <c:pt idx="0">
                  <c:v>4.976339631918715</c:v>
                </c:pt>
                <c:pt idx="1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96-47E8-B2E0-CD6EFE682653}"/>
            </c:ext>
          </c:extLst>
        </c:ser>
        <c:ser>
          <c:idx val="1"/>
          <c:order val="1"/>
          <c:spPr>
            <a:ln w="12700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xVal>
            <c:numRef>
              <c:f>Sheet1!$AB$4:$AB$5</c:f>
              <c:numCache>
                <c:formatCode>General</c:formatCode>
                <c:ptCount val="2"/>
                <c:pt idx="0">
                  <c:v>0</c:v>
                </c:pt>
                <c:pt idx="1">
                  <c:v>1000</c:v>
                </c:pt>
              </c:numCache>
            </c:numRef>
          </c:xVal>
          <c:yVal>
            <c:numRef>
              <c:f>Sheet1!$AA$4:$AA$5</c:f>
              <c:numCache>
                <c:formatCode>General</c:formatCode>
                <c:ptCount val="2"/>
                <c:pt idx="0">
                  <c:v>4.976339631918715</c:v>
                </c:pt>
                <c:pt idx="1">
                  <c:v>4.976339631918715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96-47E8-B2E0-CD6EFE682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248096"/>
        <c:axId val="1802250272"/>
      </c:scatterChart>
      <c:valAx>
        <c:axId val="1802248096"/>
        <c:scaling>
          <c:orientation val="minMax"/>
          <c:max val="1000"/>
        </c:scaling>
        <c:delete val="1"/>
        <c:axPos val="b"/>
        <c:numFmt formatCode="General" sourceLinked="1"/>
        <c:majorTickMark val="cross"/>
        <c:minorTickMark val="none"/>
        <c:tickLblPos val="none"/>
        <c:crossAx val="1802250272"/>
        <c:crosses val="autoZero"/>
        <c:crossBetween val="midCat"/>
      </c:valAx>
      <c:valAx>
        <c:axId val="1802250272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out"/>
        <c:minorTickMark val="none"/>
        <c:tickLblPos val="none"/>
        <c:crossAx val="180224809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croll" dx="16" fmlaLink="$Q$5" horiz="1" max="100" page="10" val="50"/>
</file>

<file path=xl/ctrlProps/ctrlProp2.xml><?xml version="1.0" encoding="utf-8"?>
<formControlPr xmlns="http://schemas.microsoft.com/office/spreadsheetml/2009/9/main" objectType="Scroll" dx="16" fmlaLink="$Q$6" horiz="1" max="100" page="10" val="50"/>
</file>

<file path=xl/ctrlProps/ctrlProp3.xml><?xml version="1.0" encoding="utf-8"?>
<formControlPr xmlns="http://schemas.microsoft.com/office/spreadsheetml/2009/9/main" objectType="Scroll" dx="16" fmlaLink="$Q$7" horiz="1" max="200" page="10" val="100"/>
</file>

<file path=xl/ctrlProps/ctrlProp4.xml><?xml version="1.0" encoding="utf-8"?>
<formControlPr xmlns="http://schemas.microsoft.com/office/spreadsheetml/2009/9/main" objectType="Scroll" dx="16" fmlaLink="$Q$8" horiz="1" max="200" page="10" val="50"/>
</file>

<file path=xl/ctrlProps/ctrlProp5.xml><?xml version="1.0" encoding="utf-8"?>
<formControlPr xmlns="http://schemas.microsoft.com/office/spreadsheetml/2009/9/main" objectType="Scroll" dx="16" fmlaLink="$Q$9" horiz="1" max="100" page="10" val="60"/>
</file>

<file path=xl/ctrlProps/ctrlProp6.xml><?xml version="1.0" encoding="utf-8"?>
<formControlPr xmlns="http://schemas.microsoft.com/office/spreadsheetml/2009/9/main" objectType="Scroll" dx="16" fmlaLink="$Q$10" horiz="1" max="100" page="10" val="40"/>
</file>

<file path=xl/ctrlProps/ctrlProp7.xml><?xml version="1.0" encoding="utf-8"?>
<formControlPr xmlns="http://schemas.microsoft.com/office/spreadsheetml/2009/9/main" objectType="Scroll" dx="16" fmlaLink="$Q$11" horiz="1" max="40" page="10" val="20"/>
</file>

<file path=xl/ctrlProps/ctrlProp8.xml><?xml version="1.0" encoding="utf-8"?>
<formControlPr xmlns="http://schemas.microsoft.com/office/spreadsheetml/2009/9/main" objectType="Scroll" dx="16" fmlaLink="$Q$12" horiz="1" max="100" page="10" val="50"/>
</file>

<file path=xl/ctrlProps/ctrlProp9.xml><?xml version="1.0" encoding="utf-8"?>
<formControlPr xmlns="http://schemas.microsoft.com/office/spreadsheetml/2009/9/main" objectType="Scroll" dx="16" fmlaLink="$Q$13" horiz="1" max="200" page="10" val="10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167842</xdr:colOff>
      <xdr:row>5</xdr:row>
      <xdr:rowOff>178592</xdr:rowOff>
    </xdr:from>
    <xdr:to>
      <xdr:col>34</xdr:col>
      <xdr:colOff>321469</xdr:colOff>
      <xdr:row>45</xdr:row>
      <xdr:rowOff>11906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7629092" y="1131092"/>
          <a:ext cx="14028377" cy="7453314"/>
          <a:chOff x="7629092" y="1131092"/>
          <a:chExt cx="14028377" cy="7453314"/>
        </a:xfrm>
      </xdr:grpSpPr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GraphicFramePr/>
        </xdr:nvGraphicFramePr>
        <xdr:xfrm>
          <a:off x="16726827" y="1131092"/>
          <a:ext cx="4507079" cy="74295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aphicFramePr/>
        </xdr:nvGraphicFramePr>
        <xdr:xfrm>
          <a:off x="7823200" y="4491097"/>
          <a:ext cx="13834269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7629092" y="1183821"/>
          <a:ext cx="4524087" cy="74005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11</xdr:col>
      <xdr:colOff>155935</xdr:colOff>
      <xdr:row>6</xdr:row>
      <xdr:rowOff>31749</xdr:rowOff>
    </xdr:from>
    <xdr:to>
      <xdr:col>33</xdr:col>
      <xdr:colOff>504748</xdr:colOff>
      <xdr:row>41</xdr:row>
      <xdr:rowOff>123174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7617185" y="1174749"/>
          <a:ext cx="13620313" cy="6758925"/>
          <a:chOff x="7617185" y="1174749"/>
          <a:chExt cx="13620313" cy="6758925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aphicFramePr/>
        </xdr:nvGraphicFramePr>
        <xdr:xfrm>
          <a:off x="16717302" y="4470686"/>
          <a:ext cx="4518985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aphicFramePr/>
        </xdr:nvGraphicFramePr>
        <xdr:xfrm>
          <a:off x="16718513" y="1299919"/>
          <a:ext cx="4518985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GraphicFramePr/>
        </xdr:nvGraphicFramePr>
        <xdr:xfrm>
          <a:off x="12287723" y="4481572"/>
          <a:ext cx="4518985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aphicFramePr/>
        </xdr:nvGraphicFramePr>
        <xdr:xfrm>
          <a:off x="7617185" y="4487355"/>
          <a:ext cx="4524087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GraphicFramePr/>
        </xdr:nvGraphicFramePr>
        <xdr:xfrm>
          <a:off x="7627504" y="1174749"/>
          <a:ext cx="4524087" cy="36379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0</xdr:row>
      <xdr:rowOff>142875</xdr:rowOff>
    </xdr:from>
    <xdr:to>
      <xdr:col>13</xdr:col>
      <xdr:colOff>381000</xdr:colOff>
      <xdr:row>19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9550" y="142875"/>
          <a:ext cx="7486650" cy="3638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100" b="1">
              <a:solidFill>
                <a:schemeClr val="accent6">
                  <a:lumMod val="50000"/>
                </a:schemeClr>
              </a:solidFill>
            </a:rPr>
            <a:t>Alat Peraga Analisis Keseimbangan</a:t>
          </a:r>
          <a:r>
            <a:rPr lang="en-US" sz="1100" b="1" baseline="0">
              <a:solidFill>
                <a:schemeClr val="accent6">
                  <a:lumMod val="50000"/>
                </a:schemeClr>
              </a:solidFill>
            </a:rPr>
            <a:t> Parsial Jangka Pendek</a:t>
          </a:r>
        </a:p>
        <a:p>
          <a:r>
            <a:rPr lang="en-US" sz="1100" i="1" baseline="0">
              <a:solidFill>
                <a:schemeClr val="accent6">
                  <a:lumMod val="75000"/>
                </a:schemeClr>
              </a:solidFill>
            </a:rPr>
            <a:t>oleh Dr. Arief Anshory Yusuf (Universitas Padjadjaran)</a:t>
          </a:r>
        </a:p>
        <a:p>
          <a:endParaRPr lang="en-US" sz="1100" baseline="0"/>
        </a:p>
        <a:p>
          <a:r>
            <a:rPr lang="en-US" sz="1100" baseline="0"/>
            <a:t>Tujuan dari alat peraga ini adalah untuk mendemonstrasikan keseimbangan parsial jangka pendek yaitu kondisi keseimbangan (ekuilibrium) antara permintaan pasar dan penawaran pasar sebuah barang beserta kondisi-kondisi pelaku ekonomi representatif (konsumen dan produsen) yang mewakilinya dalam satu diagram yang komprehensif dan saling terkait.</a:t>
          </a:r>
        </a:p>
        <a:p>
          <a:endParaRPr lang="en-US" sz="1100" baseline="0"/>
        </a:p>
        <a:p>
          <a:r>
            <a:rPr lang="en-US" sz="1100" baseline="0"/>
            <a:t>Untuk mata kuliah pengantar, mahasiswa bisa langsung menggunakan diagram untuk melihat efek dari berbagai parameter atau variabel. Untuk mata kuliah lanjutan, mahasiswa bisa membaca catatan terpisah tentang bagaimana diagram-diagram tersebut diturunkan.</a:t>
          </a:r>
        </a:p>
        <a:p>
          <a:endParaRPr lang="en-US" sz="1100" baseline="0"/>
        </a:p>
        <a:p>
          <a:r>
            <a:rPr lang="en-US" sz="1100" baseline="0"/>
            <a:t>Asumsi-asumsi dalam analisis ini adalah sebagai berikut:</a:t>
          </a:r>
        </a:p>
        <a:p>
          <a:r>
            <a:rPr lang="en-US" sz="1100" baseline="0"/>
            <a:t>(1) Terdapat H konsumen identik yang memaksimumkan utility Cobb-Douglas u = q</a:t>
          </a:r>
          <a:r>
            <a:rPr lang="en-US" sz="1100" baseline="-25000"/>
            <a:t>d</a:t>
          </a:r>
          <a:r>
            <a:rPr lang="en-US" sz="1100" baseline="30000">
              <a:sym typeface="Symbol"/>
            </a:rPr>
            <a:t>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z</a:t>
          </a:r>
          <a:r>
            <a:rPr lang="en-US" sz="1100" baseline="30000">
              <a:solidFill>
                <a:schemeClr val="dk1"/>
              </a:solidFill>
              <a:latin typeface="+mn-lt"/>
              <a:ea typeface="+mn-ea"/>
              <a:cs typeface="+mn-cs"/>
            </a:rPr>
            <a:t>1-</a:t>
          </a:r>
          <a:r>
            <a:rPr lang="en-US" sz="1100" baseline="30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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 dengan kendala anggaran y = pq</a:t>
          </a:r>
          <a:r>
            <a:rPr lang="en-US" sz="1100" baseline="-25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d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 + p</a:t>
          </a:r>
          <a:r>
            <a:rPr lang="en-US" sz="1100" baseline="-25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z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z, dimana q</a:t>
          </a:r>
          <a:r>
            <a:rPr lang="en-US" sz="1100" baseline="-25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d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 adalah jumlah barang q, z adalah jumlah barang z, y adalah pendapata, p adalah harga barang q dan p</a:t>
          </a:r>
          <a:r>
            <a:rPr lang="en-US" sz="1100" baseline="-25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z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 adalah harga barang z.</a:t>
          </a:r>
        </a:p>
        <a:p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(2) Terdapat N produsen identik dengan teknologi produksi Cobb-Douglas q</a:t>
          </a:r>
          <a:r>
            <a:rPr lang="en-US" sz="1100" baseline="-25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 =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K</a:t>
          </a:r>
          <a:r>
            <a:rPr lang="en-US" sz="1100" baseline="30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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L</a:t>
          </a:r>
          <a:r>
            <a:rPr lang="el-GR" sz="1100" baseline="30000">
              <a:solidFill>
                <a:schemeClr val="dk1"/>
              </a:solidFill>
              <a:latin typeface="+mn-lt"/>
              <a:ea typeface="+mn-ea"/>
              <a:cs typeface="+mn-cs"/>
            </a:rPr>
            <a:t>β</a:t>
          </a:r>
          <a:r>
            <a:rPr lang="en-US" sz="1100" baseline="3000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dan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emaksimumkan profit jangka  pendek, yaitu profit = TR - SC =  pq</a:t>
          </a:r>
          <a:r>
            <a:rPr lang="en-US" sz="1100" baseline="-25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 - [rK + w(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q</a:t>
          </a:r>
          <a:r>
            <a:rPr lang="en-US" sz="1100" baseline="-25000">
              <a:solidFill>
                <a:schemeClr val="dk1"/>
              </a:solidFill>
              <a:latin typeface="+mn-lt"/>
              <a:ea typeface="+mn-ea"/>
              <a:cs typeface="+mn-cs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/K</a:t>
          </a:r>
          <a:r>
            <a:rPr lang="en-US" sz="1100" baseline="30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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)</a:t>
          </a:r>
          <a:r>
            <a:rPr lang="en-US" sz="1100" baseline="30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1/</a:t>
          </a:r>
          <a:r>
            <a:rPr lang="el-GR" sz="1100" baseline="30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β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] dimana TR adalah total revenue (penerimaan), SC adalah short-run cost, r adalah sewa kapital, K adalah jumlah kapital, w adalah upah dan q</a:t>
          </a:r>
          <a:r>
            <a:rPr lang="en-US" sz="1100" baseline="-2500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  <a:sym typeface="Symbol"/>
            </a:rPr>
            <a:t> adalah jumlah output yang diproduksi/disupply.</a:t>
          </a:r>
          <a:endParaRPr lang="en-US" sz="1100" baseline="0"/>
        </a:p>
        <a:p>
          <a:r>
            <a:rPr lang="en-US" sz="1100" baseline="0"/>
            <a:t>(3) Jangka pendek adalah kondisi dimana perusahaan hanya bisa merubah input tenaga kerja dan tidak bisa merubah kapital.</a:t>
          </a:r>
        </a:p>
        <a:p>
          <a:endParaRPr lang="en-US" sz="1100" baseline="0"/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43657</xdr:rowOff>
    </xdr:from>
    <xdr:to>
      <xdr:col>24</xdr:col>
      <xdr:colOff>209113</xdr:colOff>
      <xdr:row>35</xdr:row>
      <xdr:rowOff>135082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644769" y="43657"/>
          <a:ext cx="13426882" cy="5913887"/>
          <a:chOff x="7617185" y="1174749"/>
          <a:chExt cx="13620313" cy="6758925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aphicFramePr/>
        </xdr:nvGraphicFramePr>
        <xdr:xfrm>
          <a:off x="16718513" y="1299919"/>
          <a:ext cx="4518985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GraphicFramePr/>
        </xdr:nvGraphicFramePr>
        <xdr:xfrm>
          <a:off x="16717302" y="4470686"/>
          <a:ext cx="4518985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aphicFramePr/>
        </xdr:nvGraphicFramePr>
        <xdr:xfrm>
          <a:off x="12287723" y="4481572"/>
          <a:ext cx="4518985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GraphicFramePr/>
        </xdr:nvGraphicFramePr>
        <xdr:xfrm>
          <a:off x="7617185" y="4487355"/>
          <a:ext cx="4524087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1" name="Chart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GraphicFramePr/>
        </xdr:nvGraphicFramePr>
        <xdr:xfrm>
          <a:off x="7627504" y="1174749"/>
          <a:ext cx="4524087" cy="36379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</xdr:col>
      <xdr:colOff>11907</xdr:colOff>
      <xdr:row>0</xdr:row>
      <xdr:rowOff>0</xdr:rowOff>
    </xdr:from>
    <xdr:to>
      <xdr:col>25</xdr:col>
      <xdr:colOff>19484</xdr:colOff>
      <xdr:row>39</xdr:row>
      <xdr:rowOff>23814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56676" y="0"/>
          <a:ext cx="13870116" cy="6510583"/>
          <a:chOff x="7629092" y="1131092"/>
          <a:chExt cx="14028377" cy="7453314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16726827" y="1131092"/>
          <a:ext cx="4507079" cy="742950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aphicFramePr/>
        </xdr:nvGraphicFramePr>
        <xdr:xfrm>
          <a:off x="7629092" y="1183821"/>
          <a:ext cx="4524087" cy="74005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aphicFramePr/>
        </xdr:nvGraphicFramePr>
        <xdr:xfrm>
          <a:off x="7823200" y="4491097"/>
          <a:ext cx="13834269" cy="34463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22</xdr:col>
      <xdr:colOff>369094</xdr:colOff>
      <xdr:row>18</xdr:row>
      <xdr:rowOff>142875</xdr:rowOff>
    </xdr:from>
    <xdr:to>
      <xdr:col>23</xdr:col>
      <xdr:colOff>523875</xdr:colOff>
      <xdr:row>20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12477750" y="3167063"/>
          <a:ext cx="762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sz="1050"/>
            <a:t>MC</a:t>
          </a:r>
        </a:p>
      </xdr:txBody>
    </xdr:sp>
    <xdr:clientData/>
  </xdr:twoCellAnchor>
  <xdr:twoCellAnchor>
    <xdr:from>
      <xdr:col>22</xdr:col>
      <xdr:colOff>461962</xdr:colOff>
      <xdr:row>23</xdr:row>
      <xdr:rowOff>164307</xdr:rowOff>
    </xdr:from>
    <xdr:to>
      <xdr:col>24</xdr:col>
      <xdr:colOff>9524</xdr:colOff>
      <xdr:row>25</xdr:row>
      <xdr:rowOff>21432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2570618" y="4021932"/>
          <a:ext cx="762000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r"/>
          <a:r>
            <a:rPr lang="en-US" sz="1050"/>
            <a:t>AC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203200</xdr:colOff>
          <xdr:row>4</xdr:row>
          <xdr:rowOff>0</xdr:rowOff>
        </xdr:from>
        <xdr:to>
          <xdr:col>14</xdr:col>
          <xdr:colOff>203200</xdr:colOff>
          <xdr:row>5</xdr:row>
          <xdr:rowOff>4618</xdr:rowOff>
        </xdr:to>
        <xdr:sp macro="" textlink="">
          <xdr:nvSpPr>
            <xdr:cNvPr id="2063" name="Scroll Bar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203200</xdr:colOff>
          <xdr:row>4</xdr:row>
          <xdr:rowOff>171450</xdr:rowOff>
        </xdr:from>
        <xdr:to>
          <xdr:col>14</xdr:col>
          <xdr:colOff>203200</xdr:colOff>
          <xdr:row>6</xdr:row>
          <xdr:rowOff>0</xdr:rowOff>
        </xdr:to>
        <xdr:sp macro="" textlink="">
          <xdr:nvSpPr>
            <xdr:cNvPr id="2065" name="Scroll Bar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2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203200</xdr:colOff>
          <xdr:row>5</xdr:row>
          <xdr:rowOff>146050</xdr:rowOff>
        </xdr:from>
        <xdr:to>
          <xdr:col>14</xdr:col>
          <xdr:colOff>203200</xdr:colOff>
          <xdr:row>7</xdr:row>
          <xdr:rowOff>0</xdr:rowOff>
        </xdr:to>
        <xdr:sp macro="" textlink="">
          <xdr:nvSpPr>
            <xdr:cNvPr id="2066" name="Scroll Bar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2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203200</xdr:colOff>
          <xdr:row>6</xdr:row>
          <xdr:rowOff>146050</xdr:rowOff>
        </xdr:from>
        <xdr:to>
          <xdr:col>14</xdr:col>
          <xdr:colOff>203200</xdr:colOff>
          <xdr:row>8</xdr:row>
          <xdr:rowOff>0</xdr:rowOff>
        </xdr:to>
        <xdr:sp macro="" textlink="">
          <xdr:nvSpPr>
            <xdr:cNvPr id="2067" name="Scroll Bar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2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203200</xdr:colOff>
          <xdr:row>7</xdr:row>
          <xdr:rowOff>146050</xdr:rowOff>
        </xdr:from>
        <xdr:to>
          <xdr:col>14</xdr:col>
          <xdr:colOff>203200</xdr:colOff>
          <xdr:row>9</xdr:row>
          <xdr:rowOff>0</xdr:rowOff>
        </xdr:to>
        <xdr:sp macro="" textlink="">
          <xdr:nvSpPr>
            <xdr:cNvPr id="2068" name="Scroll Bar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2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203200</xdr:colOff>
          <xdr:row>8</xdr:row>
          <xdr:rowOff>146050</xdr:rowOff>
        </xdr:from>
        <xdr:to>
          <xdr:col>14</xdr:col>
          <xdr:colOff>203200</xdr:colOff>
          <xdr:row>10</xdr:row>
          <xdr:rowOff>0</xdr:rowOff>
        </xdr:to>
        <xdr:sp macro="" textlink="">
          <xdr:nvSpPr>
            <xdr:cNvPr id="2069" name="Scroll Bar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2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203200</xdr:colOff>
          <xdr:row>9</xdr:row>
          <xdr:rowOff>146050</xdr:rowOff>
        </xdr:from>
        <xdr:to>
          <xdr:col>14</xdr:col>
          <xdr:colOff>203200</xdr:colOff>
          <xdr:row>11</xdr:row>
          <xdr:rowOff>0</xdr:rowOff>
        </xdr:to>
        <xdr:sp macro="" textlink="">
          <xdr:nvSpPr>
            <xdr:cNvPr id="2070" name="Scroll Bar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2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203200</xdr:colOff>
          <xdr:row>10</xdr:row>
          <xdr:rowOff>152400</xdr:rowOff>
        </xdr:from>
        <xdr:to>
          <xdr:col>14</xdr:col>
          <xdr:colOff>203200</xdr:colOff>
          <xdr:row>12</xdr:row>
          <xdr:rowOff>0</xdr:rowOff>
        </xdr:to>
        <xdr:sp macro="" textlink="">
          <xdr:nvSpPr>
            <xdr:cNvPr id="2071" name="Scroll Bar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2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203200</xdr:colOff>
          <xdr:row>11</xdr:row>
          <xdr:rowOff>152400</xdr:rowOff>
        </xdr:from>
        <xdr:to>
          <xdr:col>14</xdr:col>
          <xdr:colOff>203200</xdr:colOff>
          <xdr:row>13</xdr:row>
          <xdr:rowOff>0</xdr:rowOff>
        </xdr:to>
        <xdr:sp macro="" textlink="">
          <xdr:nvSpPr>
            <xdr:cNvPr id="2072" name="Scroll Bar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2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0.7837</cdr:x>
      <cdr:y>0.29468</cdr:y>
    </cdr:from>
    <cdr:to>
      <cdr:x>0.9826</cdr:x>
      <cdr:y>0.36533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18640" y="893917"/>
          <a:ext cx="89296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/>
            <a:t>penerimaan</a:t>
          </a:r>
        </a:p>
      </cdr:txBody>
    </cdr:sp>
  </cdr:relSizeAnchor>
  <cdr:relSizeAnchor xmlns:cdr="http://schemas.openxmlformats.org/drawingml/2006/chartDrawing">
    <cdr:from>
      <cdr:x>0.74807</cdr:x>
      <cdr:y>0.10158</cdr:y>
    </cdr:from>
    <cdr:to>
      <cdr:x>0.94696</cdr:x>
      <cdr:y>0.17222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358660" y="308130"/>
          <a:ext cx="89296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r"/>
          <a:r>
            <a:rPr lang="en-US" sz="1000"/>
            <a:t>biaya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0.81678</cdr:x>
      <cdr:y>0.63584</cdr:y>
    </cdr:from>
    <cdr:to>
      <cdr:x>0.9865</cdr:x>
      <cdr:y>0.69864</cdr:y>
    </cdr:to>
    <cdr:sp macro="" textlink="">
      <cdr:nvSpPr>
        <cdr:cNvPr id="2" name="TextBox 11"/>
        <cdr:cNvSpPr txBox="1"/>
      </cdr:nvSpPr>
      <cdr:spPr>
        <a:xfrm xmlns:a="http://schemas.openxmlformats.org/drawingml/2006/main">
          <a:off x="3667125" y="1928812"/>
          <a:ext cx="762000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050"/>
            <a:t>DD</a:t>
          </a:r>
        </a:p>
      </cdr:txBody>
    </cdr:sp>
  </cdr:relSizeAnchor>
  <cdr:relSizeAnchor xmlns:cdr="http://schemas.openxmlformats.org/drawingml/2006/chartDrawing">
    <cdr:from>
      <cdr:x>0.76398</cdr:x>
      <cdr:y>0.06594</cdr:y>
    </cdr:from>
    <cdr:to>
      <cdr:x>0.9337</cdr:x>
      <cdr:y>0.12874</cdr:y>
    </cdr:to>
    <cdr:sp macro="" textlink="">
      <cdr:nvSpPr>
        <cdr:cNvPr id="3" name="TextBox 11"/>
        <cdr:cNvSpPr txBox="1"/>
      </cdr:nvSpPr>
      <cdr:spPr>
        <a:xfrm xmlns:a="http://schemas.openxmlformats.org/drawingml/2006/main">
          <a:off x="3430097" y="200025"/>
          <a:ext cx="762000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050"/>
            <a:t>SS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0.24899</cdr:x>
      <cdr:y>0.0785</cdr:y>
    </cdr:from>
    <cdr:to>
      <cdr:x>0.41852</cdr:x>
      <cdr:y>0.21758</cdr:y>
    </cdr:to>
    <cdr:sp macro="" textlink="">
      <cdr:nvSpPr>
        <cdr:cNvPr id="2" name="TextBox 11"/>
        <cdr:cNvSpPr txBox="1"/>
      </cdr:nvSpPr>
      <cdr:spPr>
        <a:xfrm xmlns:a="http://schemas.openxmlformats.org/drawingml/2006/main">
          <a:off x="1119188" y="238126"/>
          <a:ext cx="762000" cy="4219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050"/>
            <a:t>individual demand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0.18277</cdr:x>
      <cdr:y>0.10039</cdr:y>
    </cdr:from>
    <cdr:to>
      <cdr:x>0.3523</cdr:x>
      <cdr:y>0.15988</cdr:y>
    </cdr:to>
    <cdr:sp macro="" textlink="">
      <cdr:nvSpPr>
        <cdr:cNvPr id="2" name="TextBox 11"/>
        <cdr:cNvSpPr txBox="1"/>
      </cdr:nvSpPr>
      <cdr:spPr>
        <a:xfrm xmlns:a="http://schemas.openxmlformats.org/drawingml/2006/main">
          <a:off x="821531" y="321468"/>
          <a:ext cx="762000" cy="1905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r>
            <a:rPr lang="en-US" sz="1050"/>
            <a:t>utility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BD46"/>
  <sheetViews>
    <sheetView zoomScale="60" zoomScaleNormal="60" workbookViewId="0">
      <selection activeCell="F10" sqref="F10"/>
    </sheetView>
  </sheetViews>
  <sheetFormatPr defaultColWidth="9.1796875" defaultRowHeight="14" x14ac:dyDescent="0.3"/>
  <cols>
    <col min="1" max="1" width="9.1796875" style="1"/>
    <col min="2" max="2" width="21" style="1" customWidth="1"/>
    <col min="3" max="4" width="9.1796875" style="2"/>
    <col min="5" max="5" width="9.453125" style="2" bestFit="1" customWidth="1"/>
    <col min="6" max="22" width="9.1796875" style="1"/>
    <col min="23" max="23" width="9.1796875" style="1" customWidth="1"/>
    <col min="24" max="16384" width="9.1796875" style="1"/>
  </cols>
  <sheetData>
    <row r="2" spans="2:56" x14ac:dyDescent="0.3">
      <c r="G2" s="1" t="s">
        <v>30</v>
      </c>
    </row>
    <row r="3" spans="2:56" x14ac:dyDescent="0.3">
      <c r="D3" s="2" t="s">
        <v>19</v>
      </c>
      <c r="E3" s="2" t="s">
        <v>20</v>
      </c>
      <c r="G3" s="1" t="s">
        <v>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36</v>
      </c>
      <c r="O3" s="1" t="s">
        <v>35</v>
      </c>
      <c r="P3" s="1" t="s">
        <v>37</v>
      </c>
      <c r="Q3" s="1" t="s">
        <v>38</v>
      </c>
      <c r="R3" s="1" t="s">
        <v>38</v>
      </c>
      <c r="S3" s="1" t="s">
        <v>37</v>
      </c>
      <c r="T3" s="1" t="s">
        <v>39</v>
      </c>
      <c r="U3" s="1" t="s">
        <v>35</v>
      </c>
      <c r="V3" s="1" t="s">
        <v>37</v>
      </c>
      <c r="W3" s="1" t="s">
        <v>42</v>
      </c>
      <c r="X3" s="1" t="s">
        <v>43</v>
      </c>
      <c r="Y3" s="1" t="s">
        <v>40</v>
      </c>
      <c r="Z3" s="1" t="s">
        <v>42</v>
      </c>
      <c r="AA3" s="1" t="s">
        <v>41</v>
      </c>
      <c r="AB3" s="1" t="s">
        <v>43</v>
      </c>
      <c r="AC3" s="1" t="s">
        <v>39</v>
      </c>
      <c r="AD3" s="1" t="s">
        <v>42</v>
      </c>
      <c r="AE3" s="1" t="s">
        <v>43</v>
      </c>
      <c r="AF3" s="1" t="s">
        <v>44</v>
      </c>
      <c r="AG3" s="1" t="s">
        <v>45</v>
      </c>
      <c r="AH3" s="1" t="s">
        <v>46</v>
      </c>
      <c r="AI3" s="1" t="s">
        <v>47</v>
      </c>
      <c r="AJ3" s="1" t="s">
        <v>51</v>
      </c>
      <c r="AK3" s="1" t="s">
        <v>50</v>
      </c>
      <c r="AL3" s="1" t="s">
        <v>48</v>
      </c>
      <c r="AM3" s="1" t="s">
        <v>49</v>
      </c>
      <c r="AN3" s="1" t="s">
        <v>52</v>
      </c>
      <c r="AO3" s="1" t="s">
        <v>53</v>
      </c>
      <c r="AP3" s="1" t="s">
        <v>54</v>
      </c>
      <c r="AQ3" s="1" t="s">
        <v>55</v>
      </c>
      <c r="AR3" s="1" t="s">
        <v>39</v>
      </c>
      <c r="AS3" s="1" t="s">
        <v>44</v>
      </c>
      <c r="AT3" s="1" t="s">
        <v>45</v>
      </c>
      <c r="AU3" s="1" t="s">
        <v>52</v>
      </c>
      <c r="AV3" s="1" t="s">
        <v>53</v>
      </c>
      <c r="AW3" s="1" t="s">
        <v>51</v>
      </c>
      <c r="AX3" s="1" t="s">
        <v>50</v>
      </c>
      <c r="AY3" s="1" t="s">
        <v>54</v>
      </c>
      <c r="AZ3" s="1" t="s">
        <v>55</v>
      </c>
      <c r="BA3" s="1" t="s">
        <v>48</v>
      </c>
      <c r="BB3" s="1" t="s">
        <v>49</v>
      </c>
      <c r="BC3" s="1" t="s">
        <v>40</v>
      </c>
      <c r="BD3" s="1" t="s">
        <v>41</v>
      </c>
    </row>
    <row r="4" spans="2:56" x14ac:dyDescent="0.3">
      <c r="B4" s="1" t="s">
        <v>9</v>
      </c>
      <c r="C4" s="3" t="s">
        <v>0</v>
      </c>
      <c r="D4" s="2">
        <v>0.5</v>
      </c>
      <c r="E4" s="2">
        <f>Diagram!O5</f>
        <v>0.5</v>
      </c>
      <c r="G4" s="1">
        <v>0.01</v>
      </c>
      <c r="H4" s="1">
        <f t="shared" ref="H4:H46" si="0">(utility0/(G4^theta0))^(1/(1-theta0))</f>
        <v>12559.432157547899</v>
      </c>
      <c r="I4" s="1">
        <f t="shared" ref="I4:I46" si="1">(utility1/(G4^theta1))^(1/(1-theta1))</f>
        <v>12559.432157547899</v>
      </c>
      <c r="J4" s="1">
        <f t="shared" ref="J4:J46" si="2">(income0/pricez0)-(price0/pricez0)*G4</f>
        <v>49.950236603680814</v>
      </c>
      <c r="K4" s="1">
        <f t="shared" ref="K4:K46" si="3">(income1/pricez1)-(price1/pricez1)*G4</f>
        <v>49.950236603680814</v>
      </c>
      <c r="L4" s="1">
        <f>qdd0</f>
        <v>5.0237728630191612</v>
      </c>
      <c r="M4" s="1">
        <v>100</v>
      </c>
      <c r="N4" s="1">
        <f>goodz0</f>
        <v>25</v>
      </c>
      <c r="O4" s="1">
        <v>100</v>
      </c>
      <c r="P4" s="1">
        <f>qdemand1</f>
        <v>5.0237728630191612</v>
      </c>
      <c r="Q4" s="1">
        <v>100</v>
      </c>
      <c r="R4" s="1">
        <f>goodz1</f>
        <v>25</v>
      </c>
      <c r="S4" s="1">
        <v>100</v>
      </c>
      <c r="T4" s="1">
        <v>0.01</v>
      </c>
      <c r="U4" s="1">
        <f t="shared" ref="U4:U46" si="4">theta0*income0/T4</f>
        <v>2500</v>
      </c>
      <c r="V4" s="1">
        <f t="shared" ref="V4:V46" si="5">theta1*income1/T4</f>
        <v>2500</v>
      </c>
      <c r="W4" s="1">
        <f t="shared" ref="W4:W46" si="6">U4*hhno0</f>
        <v>250000</v>
      </c>
      <c r="X4" s="1">
        <f t="shared" ref="X4:X46" si="7">V4*hhno1</f>
        <v>250000</v>
      </c>
      <c r="Y4" s="1">
        <f>price0</f>
        <v>4.976339631918715</v>
      </c>
      <c r="Z4" s="1">
        <v>0</v>
      </c>
      <c r="AA4" s="1">
        <f>price1</f>
        <v>4.976339631918715</v>
      </c>
      <c r="AB4" s="1">
        <v>0</v>
      </c>
      <c r="AC4" s="1">
        <v>0</v>
      </c>
      <c r="AD4" s="1">
        <f>Quantity0</f>
        <v>502.37728630191612</v>
      </c>
      <c r="AE4" s="1">
        <f>Quantity1</f>
        <v>502.37728630191612</v>
      </c>
      <c r="AF4" s="1">
        <f t="shared" ref="AF4:AF46" si="8">(beta0*T4*(capital0^(alpha0/beta0))/wage0)^(beta0/(1-beta0))</f>
        <v>7.9999999999999988E-2</v>
      </c>
      <c r="AG4" s="1">
        <f t="shared" ref="AG4:AG46" si="9">(beta1*T4*(capital1^(alpha1/beta1))/wage1)^(beta1/(1-beta1))</f>
        <v>7.9999999999999988E-2</v>
      </c>
      <c r="AH4" s="1">
        <f t="shared" ref="AH4:AH46" si="10">AF4*firmno0</f>
        <v>7.9999999999999991</v>
      </c>
      <c r="AI4" s="1">
        <f t="shared" ref="AI4:AI46" si="11">AG4*firmno1</f>
        <v>7.9999999999999991</v>
      </c>
      <c r="AJ4" s="1">
        <f t="shared" ref="AJ4:AJ46" si="12">rent0*capital0+wage0*((AF4/(capital0^alpha0))^(1/beta0))</f>
        <v>10.00032</v>
      </c>
      <c r="AK4" s="1">
        <f t="shared" ref="AK4:AK46" si="13">rent1*capital1+wage1*((AG4/(capital1^alpha1))^(1/beta1))</f>
        <v>10.00032</v>
      </c>
      <c r="AL4" s="1">
        <f>AJ4/AF4</f>
        <v>125.00400000000002</v>
      </c>
      <c r="AM4" s="1">
        <f>AK4/AG4</f>
        <v>125.00400000000002</v>
      </c>
      <c r="AN4" s="1">
        <f t="shared" ref="AN4:AN46" si="14">price0*AF4</f>
        <v>0.39810717055349715</v>
      </c>
      <c r="AO4" s="1">
        <f t="shared" ref="AO4:AO46" si="15">price1*AG4</f>
        <v>0.39810717055349715</v>
      </c>
      <c r="AP4" s="1">
        <f>AN4-AJ4</f>
        <v>-9.6022128294465023</v>
      </c>
      <c r="AQ4" s="1">
        <f>AO4-AK4</f>
        <v>-9.6022128294465023</v>
      </c>
      <c r="AR4" s="1">
        <v>0</v>
      </c>
      <c r="AS4" s="1">
        <f>Quantity0/firmno0</f>
        <v>5.0237728630191612</v>
      </c>
      <c r="AT4" s="1">
        <f>Quantity1/firmno1</f>
        <v>5.0237728630191612</v>
      </c>
      <c r="AU4" s="1">
        <f>price0*AS4</f>
        <v>25</v>
      </c>
      <c r="AV4" s="1">
        <f>price1*AT4</f>
        <v>25</v>
      </c>
      <c r="AW4" s="1">
        <f>rent0*capital0+wage0*((AS4/(capital0^alpha0))^(1/beta0))</f>
        <v>20.000000000000004</v>
      </c>
      <c r="AX4" s="1">
        <f>rent1*capital1+wage1*((AT4/(capital1^alpha1))^(1/beta1))</f>
        <v>20.000000000000004</v>
      </c>
      <c r="AY4" s="1">
        <f>AU4-AW4</f>
        <v>4.9999999999999964</v>
      </c>
      <c r="AZ4" s="1">
        <f>AV4-AX4</f>
        <v>4.9999999999999964</v>
      </c>
      <c r="BA4" s="1">
        <f>AW4/AS4</f>
        <v>3.9810717055349727</v>
      </c>
      <c r="BB4" s="1">
        <f>AX4/AT4</f>
        <v>3.9810717055349727</v>
      </c>
      <c r="BC4" s="1">
        <f>Y4</f>
        <v>4.976339631918715</v>
      </c>
      <c r="BD4" s="1">
        <f>AA4</f>
        <v>4.976339631918715</v>
      </c>
    </row>
    <row r="5" spans="2:56" x14ac:dyDescent="0.3">
      <c r="B5" s="1" t="s">
        <v>10</v>
      </c>
      <c r="C5" s="2" t="s">
        <v>1</v>
      </c>
      <c r="D5" s="2">
        <v>50</v>
      </c>
      <c r="E5" s="2">
        <f>Diagram!O6</f>
        <v>50</v>
      </c>
      <c r="G5" s="1">
        <v>0.05</v>
      </c>
      <c r="H5" s="1">
        <f t="shared" si="0"/>
        <v>2511.8864315095802</v>
      </c>
      <c r="I5" s="1">
        <f t="shared" si="1"/>
        <v>2511.8864315095802</v>
      </c>
      <c r="J5" s="1">
        <f t="shared" si="2"/>
        <v>49.751183018404063</v>
      </c>
      <c r="K5" s="1">
        <f t="shared" si="3"/>
        <v>49.751183018404063</v>
      </c>
      <c r="L5" s="1">
        <f>L4</f>
        <v>5.0237728630191612</v>
      </c>
      <c r="M5" s="1">
        <v>0</v>
      </c>
      <c r="N5" s="1">
        <f>N4</f>
        <v>25</v>
      </c>
      <c r="O5" s="1">
        <v>0</v>
      </c>
      <c r="P5" s="1">
        <f>P4</f>
        <v>5.0237728630191612</v>
      </c>
      <c r="Q5" s="1">
        <v>0</v>
      </c>
      <c r="R5" s="1">
        <f>R4</f>
        <v>25</v>
      </c>
      <c r="S5" s="1">
        <v>0</v>
      </c>
      <c r="T5" s="1">
        <v>0.05</v>
      </c>
      <c r="U5" s="1">
        <f t="shared" si="4"/>
        <v>500</v>
      </c>
      <c r="V5" s="1">
        <f t="shared" si="5"/>
        <v>500</v>
      </c>
      <c r="W5" s="1">
        <f t="shared" si="6"/>
        <v>50000</v>
      </c>
      <c r="X5" s="1">
        <f t="shared" si="7"/>
        <v>50000</v>
      </c>
      <c r="Y5" s="1">
        <f>Y4</f>
        <v>4.976339631918715</v>
      </c>
      <c r="Z5" s="1">
        <v>1000</v>
      </c>
      <c r="AA5" s="1">
        <f>AA4</f>
        <v>4.976339631918715</v>
      </c>
      <c r="AB5" s="1">
        <v>1000</v>
      </c>
      <c r="AC5" s="1">
        <v>100</v>
      </c>
      <c r="AD5" s="1">
        <f>AD4</f>
        <v>502.37728630191612</v>
      </c>
      <c r="AE5" s="1">
        <f>AE4</f>
        <v>502.37728630191612</v>
      </c>
      <c r="AF5" s="1">
        <f t="shared" si="8"/>
        <v>0.23392141905702929</v>
      </c>
      <c r="AG5" s="1">
        <f t="shared" si="9"/>
        <v>0.23392141905702929</v>
      </c>
      <c r="AH5" s="1">
        <f t="shared" si="10"/>
        <v>23.392141905702928</v>
      </c>
      <c r="AI5" s="1">
        <f t="shared" si="11"/>
        <v>23.392141905702928</v>
      </c>
      <c r="AJ5" s="1">
        <f t="shared" si="12"/>
        <v>10.004678428381141</v>
      </c>
      <c r="AK5" s="1">
        <f t="shared" si="13"/>
        <v>10.004678428381141</v>
      </c>
      <c r="AL5" s="1">
        <f t="shared" ref="AL5:AL46" si="16">AJ5/AF5</f>
        <v>42.769398666917425</v>
      </c>
      <c r="AM5" s="1">
        <f t="shared" ref="AM5:AM46" si="17">AK5/AG5</f>
        <v>42.769398666917425</v>
      </c>
      <c r="AN5" s="1">
        <f t="shared" si="14"/>
        <v>1.1640724284081607</v>
      </c>
      <c r="AO5" s="1">
        <f t="shared" si="15"/>
        <v>1.1640724284081607</v>
      </c>
      <c r="AP5" s="1">
        <f t="shared" ref="AP5:AP46" si="18">AN5-AJ5</f>
        <v>-8.8406059999729791</v>
      </c>
      <c r="AQ5" s="1">
        <f t="shared" ref="AQ5:AQ46" si="19">AO5-AK5</f>
        <v>-8.8406059999729791</v>
      </c>
      <c r="AR5" s="1">
        <v>100</v>
      </c>
      <c r="AS5" s="1">
        <f>AS4</f>
        <v>5.0237728630191612</v>
      </c>
      <c r="AT5" s="1">
        <f>AT4</f>
        <v>5.0237728630191612</v>
      </c>
    </row>
    <row r="6" spans="2:56" x14ac:dyDescent="0.3">
      <c r="B6" s="1" t="s">
        <v>11</v>
      </c>
      <c r="C6" s="2" t="s">
        <v>2</v>
      </c>
      <c r="D6" s="2">
        <v>100</v>
      </c>
      <c r="E6" s="2">
        <f>Diagram!O7</f>
        <v>100</v>
      </c>
      <c r="G6" s="1">
        <v>0.1</v>
      </c>
      <c r="H6" s="1">
        <f t="shared" si="0"/>
        <v>1255.9432157547901</v>
      </c>
      <c r="I6" s="1">
        <f t="shared" si="1"/>
        <v>1255.9432157547901</v>
      </c>
      <c r="J6" s="1">
        <f t="shared" si="2"/>
        <v>49.502366036808127</v>
      </c>
      <c r="K6" s="1">
        <f t="shared" si="3"/>
        <v>49.502366036808127</v>
      </c>
      <c r="T6" s="1">
        <v>0.1</v>
      </c>
      <c r="U6" s="1">
        <f t="shared" si="4"/>
        <v>250</v>
      </c>
      <c r="V6" s="1">
        <f t="shared" si="5"/>
        <v>250</v>
      </c>
      <c r="W6" s="1">
        <f t="shared" si="6"/>
        <v>25000</v>
      </c>
      <c r="X6" s="1">
        <f t="shared" si="7"/>
        <v>25000</v>
      </c>
      <c r="AF6" s="1">
        <f t="shared" si="8"/>
        <v>0.3713271066890223</v>
      </c>
      <c r="AG6" s="1">
        <f t="shared" si="9"/>
        <v>0.3713271066890223</v>
      </c>
      <c r="AH6" s="1">
        <f t="shared" si="10"/>
        <v>37.132710668902227</v>
      </c>
      <c r="AI6" s="1">
        <f t="shared" si="11"/>
        <v>37.132710668902227</v>
      </c>
      <c r="AJ6" s="1">
        <f t="shared" si="12"/>
        <v>10.01485308426756</v>
      </c>
      <c r="AK6" s="1">
        <f t="shared" si="13"/>
        <v>10.01485308426756</v>
      </c>
      <c r="AL6" s="1">
        <f t="shared" si="16"/>
        <v>26.970433625398545</v>
      </c>
      <c r="AM6" s="1">
        <f t="shared" si="17"/>
        <v>26.970433625398545</v>
      </c>
      <c r="AN6" s="1">
        <f t="shared" si="14"/>
        <v>1.8478497974222907</v>
      </c>
      <c r="AO6" s="1">
        <f t="shared" si="15"/>
        <v>1.8478497974222907</v>
      </c>
      <c r="AP6" s="1">
        <f t="shared" si="18"/>
        <v>-8.1670032868452704</v>
      </c>
      <c r="AQ6" s="1">
        <f t="shared" si="19"/>
        <v>-8.1670032868452704</v>
      </c>
    </row>
    <row r="7" spans="2:56" x14ac:dyDescent="0.3">
      <c r="B7" s="1" t="s">
        <v>12</v>
      </c>
      <c r="C7" s="2" t="s">
        <v>3</v>
      </c>
      <c r="D7" s="2">
        <v>0.5</v>
      </c>
      <c r="E7" s="2">
        <f>Diagram!O8</f>
        <v>0.5</v>
      </c>
      <c r="G7" s="1">
        <v>0.5</v>
      </c>
      <c r="H7" s="1">
        <f t="shared" si="0"/>
        <v>251.188643150958</v>
      </c>
      <c r="I7" s="1">
        <f t="shared" si="1"/>
        <v>251.188643150958</v>
      </c>
      <c r="J7" s="1">
        <f t="shared" si="2"/>
        <v>47.51183018404064</v>
      </c>
      <c r="K7" s="1">
        <f t="shared" si="3"/>
        <v>47.51183018404064</v>
      </c>
      <c r="T7" s="1">
        <v>0.5</v>
      </c>
      <c r="U7" s="1">
        <f t="shared" si="4"/>
        <v>50</v>
      </c>
      <c r="V7" s="1">
        <f t="shared" si="5"/>
        <v>50</v>
      </c>
      <c r="W7" s="1">
        <f t="shared" si="6"/>
        <v>5000</v>
      </c>
      <c r="X7" s="1">
        <f t="shared" si="7"/>
        <v>5000</v>
      </c>
      <c r="AF7" s="1">
        <f t="shared" si="8"/>
        <v>1.0857670466379625</v>
      </c>
      <c r="AG7" s="1">
        <f t="shared" si="9"/>
        <v>1.0857670466379625</v>
      </c>
      <c r="AH7" s="1">
        <f t="shared" si="10"/>
        <v>108.57670466379625</v>
      </c>
      <c r="AI7" s="1">
        <f t="shared" si="11"/>
        <v>108.57670466379625</v>
      </c>
      <c r="AJ7" s="1">
        <f t="shared" si="12"/>
        <v>10.217153409327592</v>
      </c>
      <c r="AK7" s="1">
        <f t="shared" si="13"/>
        <v>10.217153409327592</v>
      </c>
      <c r="AL7" s="1">
        <f t="shared" si="16"/>
        <v>9.4100787466009663</v>
      </c>
      <c r="AM7" s="1">
        <f t="shared" si="17"/>
        <v>9.4100787466009663</v>
      </c>
      <c r="AN7" s="1">
        <f t="shared" si="14"/>
        <v>5.403145585215829</v>
      </c>
      <c r="AO7" s="1">
        <f t="shared" si="15"/>
        <v>5.403145585215829</v>
      </c>
      <c r="AP7" s="1">
        <f t="shared" si="18"/>
        <v>-4.814007824111763</v>
      </c>
      <c r="AQ7" s="1">
        <f t="shared" si="19"/>
        <v>-4.814007824111763</v>
      </c>
    </row>
    <row r="8" spans="2:56" ht="14.5" x14ac:dyDescent="0.35">
      <c r="B8" s="1" t="s">
        <v>13</v>
      </c>
      <c r="C8" s="4" t="s">
        <v>4</v>
      </c>
      <c r="D8" s="2">
        <v>0.6</v>
      </c>
      <c r="E8" s="2">
        <f>Diagram!O9</f>
        <v>0.6</v>
      </c>
      <c r="G8" s="1">
        <v>1</v>
      </c>
      <c r="H8" s="1">
        <f t="shared" si="0"/>
        <v>125.59432157547901</v>
      </c>
      <c r="I8" s="1">
        <f t="shared" si="1"/>
        <v>125.59432157547901</v>
      </c>
      <c r="J8" s="1">
        <f t="shared" si="2"/>
        <v>45.023660368081288</v>
      </c>
      <c r="K8" s="1">
        <f t="shared" si="3"/>
        <v>45.023660368081288</v>
      </c>
      <c r="T8" s="1">
        <v>1</v>
      </c>
      <c r="U8" s="1">
        <f t="shared" si="4"/>
        <v>25</v>
      </c>
      <c r="V8" s="1">
        <f t="shared" si="5"/>
        <v>25</v>
      </c>
      <c r="W8" s="1">
        <f t="shared" si="6"/>
        <v>2500</v>
      </c>
      <c r="X8" s="1">
        <f t="shared" si="7"/>
        <v>2500</v>
      </c>
      <c r="AF8" s="1">
        <f t="shared" si="8"/>
        <v>1.7235477520255069</v>
      </c>
      <c r="AG8" s="1">
        <f t="shared" si="9"/>
        <v>1.7235477520255069</v>
      </c>
      <c r="AH8" s="1">
        <f t="shared" si="10"/>
        <v>172.35477520255068</v>
      </c>
      <c r="AI8" s="1">
        <f t="shared" si="11"/>
        <v>172.35477520255068</v>
      </c>
      <c r="AJ8" s="1">
        <f t="shared" si="12"/>
        <v>10.689419100810204</v>
      </c>
      <c r="AK8" s="1">
        <f t="shared" si="13"/>
        <v>10.689419100810204</v>
      </c>
      <c r="AL8" s="1">
        <f t="shared" si="16"/>
        <v>6.2019860420159745</v>
      </c>
      <c r="AM8" s="1">
        <f t="shared" si="17"/>
        <v>6.2019860420159745</v>
      </c>
      <c r="AN8" s="1">
        <f t="shared" si="14"/>
        <v>8.5769589859089397</v>
      </c>
      <c r="AO8" s="1">
        <f t="shared" si="15"/>
        <v>8.5769589859089397</v>
      </c>
      <c r="AP8" s="1">
        <f t="shared" si="18"/>
        <v>-2.1124601149012641</v>
      </c>
      <c r="AQ8" s="1">
        <f t="shared" si="19"/>
        <v>-2.1124601149012641</v>
      </c>
    </row>
    <row r="9" spans="2:56" ht="14.5" x14ac:dyDescent="0.35">
      <c r="B9" s="1" t="s">
        <v>13</v>
      </c>
      <c r="C9" s="4" t="s">
        <v>5</v>
      </c>
      <c r="D9" s="2">
        <v>0.4</v>
      </c>
      <c r="E9" s="2">
        <f>Diagram!O10</f>
        <v>0.4</v>
      </c>
      <c r="G9" s="1">
        <v>1.5</v>
      </c>
      <c r="H9" s="1">
        <f t="shared" si="0"/>
        <v>83.729547716986033</v>
      </c>
      <c r="I9" s="1">
        <f t="shared" si="1"/>
        <v>83.729547716986033</v>
      </c>
      <c r="J9" s="1">
        <f t="shared" si="2"/>
        <v>42.535490552121928</v>
      </c>
      <c r="K9" s="1">
        <f t="shared" si="3"/>
        <v>42.535490552121928</v>
      </c>
      <c r="T9" s="1">
        <v>1.5</v>
      </c>
      <c r="U9" s="1">
        <f t="shared" si="4"/>
        <v>16.666666666666668</v>
      </c>
      <c r="V9" s="1">
        <f t="shared" si="5"/>
        <v>16.666666666666668</v>
      </c>
      <c r="W9" s="1">
        <f t="shared" si="6"/>
        <v>1666.6666666666667</v>
      </c>
      <c r="X9" s="1">
        <f t="shared" si="7"/>
        <v>1666.6666666666667</v>
      </c>
      <c r="AF9" s="1">
        <f t="shared" si="8"/>
        <v>2.2584864693144686</v>
      </c>
      <c r="AG9" s="1">
        <f t="shared" si="9"/>
        <v>2.2584864693144686</v>
      </c>
      <c r="AH9" s="1">
        <f t="shared" si="10"/>
        <v>225.84864693144686</v>
      </c>
      <c r="AI9" s="1">
        <f t="shared" si="11"/>
        <v>225.84864693144686</v>
      </c>
      <c r="AJ9" s="1">
        <f t="shared" si="12"/>
        <v>11.355091881588681</v>
      </c>
      <c r="AK9" s="1">
        <f t="shared" si="13"/>
        <v>11.355091881588681</v>
      </c>
      <c r="AL9" s="1">
        <f t="shared" si="16"/>
        <v>5.0277440382608791</v>
      </c>
      <c r="AM9" s="1">
        <f t="shared" si="17"/>
        <v>5.0277440382608791</v>
      </c>
      <c r="AN9" s="1">
        <f t="shared" si="14"/>
        <v>11.238995725401761</v>
      </c>
      <c r="AO9" s="1">
        <f t="shared" si="15"/>
        <v>11.238995725401761</v>
      </c>
      <c r="AP9" s="1">
        <f t="shared" si="18"/>
        <v>-0.11609615618692004</v>
      </c>
      <c r="AQ9" s="1">
        <f t="shared" si="19"/>
        <v>-0.11609615618692004</v>
      </c>
    </row>
    <row r="10" spans="2:56" x14ac:dyDescent="0.3">
      <c r="B10" s="1" t="s">
        <v>14</v>
      </c>
      <c r="C10" s="2" t="s">
        <v>6</v>
      </c>
      <c r="D10" s="2">
        <v>2</v>
      </c>
      <c r="E10" s="2">
        <f>Diagram!O11</f>
        <v>2</v>
      </c>
      <c r="G10" s="1">
        <v>2</v>
      </c>
      <c r="H10" s="1">
        <f t="shared" si="0"/>
        <v>62.7971607877395</v>
      </c>
      <c r="I10" s="1">
        <f t="shared" si="1"/>
        <v>62.7971607877395</v>
      </c>
      <c r="J10" s="1">
        <f t="shared" si="2"/>
        <v>40.047320736162568</v>
      </c>
      <c r="K10" s="1">
        <f t="shared" si="3"/>
        <v>40.047320736162568</v>
      </c>
      <c r="T10" s="1">
        <v>2</v>
      </c>
      <c r="U10" s="1">
        <f t="shared" si="4"/>
        <v>12.5</v>
      </c>
      <c r="V10" s="1">
        <f t="shared" si="5"/>
        <v>12.5</v>
      </c>
      <c r="W10" s="1">
        <f t="shared" si="6"/>
        <v>1250</v>
      </c>
      <c r="X10" s="1">
        <f t="shared" si="7"/>
        <v>1250</v>
      </c>
      <c r="AF10" s="1">
        <f t="shared" si="8"/>
        <v>2.7359615146827161</v>
      </c>
      <c r="AG10" s="1">
        <f t="shared" si="9"/>
        <v>2.7359615146827161</v>
      </c>
      <c r="AH10" s="1">
        <f t="shared" si="10"/>
        <v>273.59615146827161</v>
      </c>
      <c r="AI10" s="1">
        <f t="shared" si="11"/>
        <v>273.59615146827161</v>
      </c>
      <c r="AJ10" s="1">
        <f t="shared" si="12"/>
        <v>12.188769211746173</v>
      </c>
      <c r="AK10" s="1">
        <f t="shared" si="13"/>
        <v>12.188769211746173</v>
      </c>
      <c r="AL10" s="1">
        <f t="shared" si="16"/>
        <v>4.4550221727660819</v>
      </c>
      <c r="AM10" s="1">
        <f t="shared" si="17"/>
        <v>4.4550221727660819</v>
      </c>
      <c r="AN10" s="1">
        <f t="shared" si="14"/>
        <v>13.615073716919957</v>
      </c>
      <c r="AO10" s="1">
        <f t="shared" si="15"/>
        <v>13.615073716919957</v>
      </c>
      <c r="AP10" s="1">
        <f t="shared" si="18"/>
        <v>1.4263045051737837</v>
      </c>
      <c r="AQ10" s="1">
        <f t="shared" si="19"/>
        <v>1.4263045051737837</v>
      </c>
    </row>
    <row r="11" spans="2:56" x14ac:dyDescent="0.3">
      <c r="B11" s="1" t="s">
        <v>15</v>
      </c>
      <c r="C11" s="2" t="s">
        <v>7</v>
      </c>
      <c r="D11" s="2">
        <v>5</v>
      </c>
      <c r="E11" s="2">
        <f>Diagram!O12</f>
        <v>5</v>
      </c>
      <c r="G11" s="1">
        <v>2.5</v>
      </c>
      <c r="H11" s="1">
        <f t="shared" si="0"/>
        <v>50.237728630191597</v>
      </c>
      <c r="I11" s="1">
        <f t="shared" si="1"/>
        <v>50.237728630191597</v>
      </c>
      <c r="J11" s="1">
        <f t="shared" si="2"/>
        <v>37.559150920203209</v>
      </c>
      <c r="K11" s="1">
        <f t="shared" si="3"/>
        <v>37.559150920203209</v>
      </c>
      <c r="T11" s="1">
        <v>2.5</v>
      </c>
      <c r="U11" s="1">
        <f t="shared" si="4"/>
        <v>10</v>
      </c>
      <c r="V11" s="1">
        <f t="shared" si="5"/>
        <v>10</v>
      </c>
      <c r="W11" s="1">
        <f t="shared" si="6"/>
        <v>1000</v>
      </c>
      <c r="X11" s="1">
        <f t="shared" si="7"/>
        <v>1000</v>
      </c>
      <c r="AF11" s="1">
        <f t="shared" si="8"/>
        <v>3.1748021039363996</v>
      </c>
      <c r="AG11" s="1">
        <f t="shared" si="9"/>
        <v>3.1748021039363996</v>
      </c>
      <c r="AH11" s="1">
        <f t="shared" si="10"/>
        <v>317.48021039363994</v>
      </c>
      <c r="AI11" s="1">
        <f t="shared" si="11"/>
        <v>317.48021039363994</v>
      </c>
      <c r="AJ11" s="1">
        <f t="shared" si="12"/>
        <v>13.1748021039364</v>
      </c>
      <c r="AK11" s="1">
        <f t="shared" si="13"/>
        <v>13.1748021039364</v>
      </c>
      <c r="AL11" s="1">
        <f t="shared" si="16"/>
        <v>4.1498026247371822</v>
      </c>
      <c r="AM11" s="1">
        <f t="shared" si="17"/>
        <v>4.1498026247371822</v>
      </c>
      <c r="AN11" s="1">
        <f t="shared" si="14"/>
        <v>15.798893533317624</v>
      </c>
      <c r="AO11" s="1">
        <f t="shared" si="15"/>
        <v>15.798893533317624</v>
      </c>
      <c r="AP11" s="1">
        <f t="shared" si="18"/>
        <v>2.6240914293812239</v>
      </c>
      <c r="AQ11" s="1">
        <f t="shared" si="19"/>
        <v>2.6240914293812239</v>
      </c>
    </row>
    <row r="12" spans="2:56" x14ac:dyDescent="0.3">
      <c r="B12" s="1" t="s">
        <v>16</v>
      </c>
      <c r="C12" s="2" t="s">
        <v>8</v>
      </c>
      <c r="D12" s="2">
        <v>100</v>
      </c>
      <c r="E12" s="2">
        <f>Diagram!O13</f>
        <v>100</v>
      </c>
      <c r="G12" s="1">
        <v>3</v>
      </c>
      <c r="H12" s="1">
        <f t="shared" si="0"/>
        <v>41.864773858493002</v>
      </c>
      <c r="I12" s="1">
        <f t="shared" si="1"/>
        <v>41.864773858493002</v>
      </c>
      <c r="J12" s="1">
        <f t="shared" si="2"/>
        <v>35.070981104243856</v>
      </c>
      <c r="K12" s="1">
        <f t="shared" si="3"/>
        <v>35.070981104243856</v>
      </c>
      <c r="T12" s="1">
        <v>3</v>
      </c>
      <c r="U12" s="1">
        <f t="shared" si="4"/>
        <v>8.3333333333333339</v>
      </c>
      <c r="V12" s="1">
        <f t="shared" si="5"/>
        <v>8.3333333333333339</v>
      </c>
      <c r="W12" s="1">
        <f t="shared" si="6"/>
        <v>833.33333333333337</v>
      </c>
      <c r="X12" s="1">
        <f t="shared" si="7"/>
        <v>833.33333333333337</v>
      </c>
      <c r="AF12" s="1">
        <f t="shared" si="8"/>
        <v>3.5851237972457319</v>
      </c>
      <c r="AG12" s="1">
        <f t="shared" si="9"/>
        <v>3.5851237972457319</v>
      </c>
      <c r="AH12" s="1">
        <f t="shared" si="10"/>
        <v>358.51237972457318</v>
      </c>
      <c r="AI12" s="1">
        <f t="shared" si="11"/>
        <v>358.51237972457318</v>
      </c>
      <c r="AJ12" s="1">
        <f t="shared" si="12"/>
        <v>14.302148556694879</v>
      </c>
      <c r="AK12" s="1">
        <f t="shared" si="13"/>
        <v>14.302148556694879</v>
      </c>
      <c r="AL12" s="1">
        <f t="shared" si="16"/>
        <v>3.9893039586757064</v>
      </c>
      <c r="AM12" s="1">
        <f t="shared" si="17"/>
        <v>3.9893039586757064</v>
      </c>
      <c r="AN12" s="1">
        <f t="shared" si="14"/>
        <v>17.840793637568851</v>
      </c>
      <c r="AO12" s="1">
        <f t="shared" si="15"/>
        <v>17.840793637568851</v>
      </c>
      <c r="AP12" s="1">
        <f t="shared" si="18"/>
        <v>3.5386450808739713</v>
      </c>
      <c r="AQ12" s="1">
        <f t="shared" si="19"/>
        <v>3.5386450808739713</v>
      </c>
    </row>
    <row r="13" spans="2:56" x14ac:dyDescent="0.3">
      <c r="B13" s="1" t="s">
        <v>17</v>
      </c>
      <c r="C13" s="2" t="s">
        <v>18</v>
      </c>
      <c r="D13" s="2">
        <v>1</v>
      </c>
      <c r="E13" s="2">
        <f>pricez</f>
        <v>1</v>
      </c>
      <c r="G13" s="1">
        <v>3.5</v>
      </c>
      <c r="H13" s="1">
        <f t="shared" si="0"/>
        <v>35.884091878708297</v>
      </c>
      <c r="I13" s="1">
        <f t="shared" si="1"/>
        <v>35.884091878708297</v>
      </c>
      <c r="J13" s="1">
        <f t="shared" si="2"/>
        <v>32.582811288284496</v>
      </c>
      <c r="K13" s="1">
        <f t="shared" si="3"/>
        <v>32.582811288284496</v>
      </c>
      <c r="T13" s="1">
        <v>3.5</v>
      </c>
      <c r="U13" s="1">
        <f t="shared" si="4"/>
        <v>7.1428571428571432</v>
      </c>
      <c r="V13" s="1">
        <f t="shared" si="5"/>
        <v>7.1428571428571432</v>
      </c>
      <c r="W13" s="1">
        <f t="shared" si="6"/>
        <v>714.28571428571433</v>
      </c>
      <c r="X13" s="1">
        <f t="shared" si="7"/>
        <v>714.28571428571433</v>
      </c>
      <c r="AF13" s="1">
        <f t="shared" si="8"/>
        <v>3.9731535535170757</v>
      </c>
      <c r="AG13" s="1">
        <f t="shared" si="9"/>
        <v>3.9731535535170757</v>
      </c>
      <c r="AH13" s="1">
        <f t="shared" si="10"/>
        <v>397.31535535170758</v>
      </c>
      <c r="AI13" s="1">
        <f t="shared" si="11"/>
        <v>397.31535535170758</v>
      </c>
      <c r="AJ13" s="1">
        <f t="shared" si="12"/>
        <v>15.562414974923911</v>
      </c>
      <c r="AK13" s="1">
        <f t="shared" si="13"/>
        <v>15.562414974923911</v>
      </c>
      <c r="AL13" s="1">
        <f t="shared" si="16"/>
        <v>3.9168924043088906</v>
      </c>
      <c r="AM13" s="1">
        <f t="shared" si="17"/>
        <v>3.9168924043088906</v>
      </c>
      <c r="AN13" s="1">
        <f t="shared" si="14"/>
        <v>19.7717614920657</v>
      </c>
      <c r="AO13" s="1">
        <f t="shared" si="15"/>
        <v>19.7717614920657</v>
      </c>
      <c r="AP13" s="1">
        <f t="shared" si="18"/>
        <v>4.209346517141789</v>
      </c>
      <c r="AQ13" s="1">
        <f t="shared" si="19"/>
        <v>4.209346517141789</v>
      </c>
    </row>
    <row r="14" spans="2:56" x14ac:dyDescent="0.3">
      <c r="G14" s="1">
        <v>4</v>
      </c>
      <c r="H14" s="1">
        <f t="shared" si="0"/>
        <v>31.398580393869754</v>
      </c>
      <c r="I14" s="1">
        <f t="shared" si="1"/>
        <v>31.398580393869754</v>
      </c>
      <c r="J14" s="1">
        <f t="shared" si="2"/>
        <v>30.09464147232514</v>
      </c>
      <c r="K14" s="1">
        <f t="shared" si="3"/>
        <v>30.09464147232514</v>
      </c>
      <c r="T14" s="1">
        <v>4</v>
      </c>
      <c r="U14" s="1">
        <f t="shared" si="4"/>
        <v>6.25</v>
      </c>
      <c r="V14" s="1">
        <f t="shared" si="5"/>
        <v>6.25</v>
      </c>
      <c r="W14" s="1">
        <f t="shared" si="6"/>
        <v>625</v>
      </c>
      <c r="X14" s="1">
        <f t="shared" si="7"/>
        <v>625</v>
      </c>
      <c r="AF14" s="1">
        <f t="shared" si="8"/>
        <v>4.343068186551851</v>
      </c>
      <c r="AG14" s="1">
        <f t="shared" si="9"/>
        <v>4.343068186551851</v>
      </c>
      <c r="AH14" s="1">
        <f t="shared" si="10"/>
        <v>434.30681865518511</v>
      </c>
      <c r="AI14" s="1">
        <f t="shared" si="11"/>
        <v>434.30681865518511</v>
      </c>
      <c r="AJ14" s="1">
        <f t="shared" si="12"/>
        <v>16.948909098482961</v>
      </c>
      <c r="AK14" s="1">
        <f t="shared" si="13"/>
        <v>16.948909098482961</v>
      </c>
      <c r="AL14" s="1">
        <f t="shared" si="16"/>
        <v>3.9025196866502414</v>
      </c>
      <c r="AM14" s="1">
        <f t="shared" si="17"/>
        <v>3.9025196866502414</v>
      </c>
      <c r="AN14" s="1">
        <f t="shared" si="14"/>
        <v>21.61258234086332</v>
      </c>
      <c r="AO14" s="1">
        <f t="shared" si="15"/>
        <v>21.61258234086332</v>
      </c>
      <c r="AP14" s="1">
        <f t="shared" si="18"/>
        <v>4.6636732423803586</v>
      </c>
      <c r="AQ14" s="1">
        <f t="shared" si="19"/>
        <v>4.6636732423803586</v>
      </c>
    </row>
    <row r="15" spans="2:56" x14ac:dyDescent="0.3">
      <c r="B15" s="1" t="s">
        <v>21</v>
      </c>
      <c r="C15" s="2" t="s">
        <v>22</v>
      </c>
      <c r="D15" s="5">
        <f>(((hhno0*theta0*income0)/firmno0)^(1-beta0))*((wage0/(beta0*(capital0^(alpha0/beta0))))^beta0)</f>
        <v>4.976339631918715</v>
      </c>
      <c r="E15" s="5">
        <f>(((hhno1*theta1*income1)/firmno1)^(1-beta1))*((wage1/(beta1*(capital1^(alpha1/beta1))))^beta1)</f>
        <v>4.976339631918715</v>
      </c>
      <c r="G15" s="1">
        <v>4.5</v>
      </c>
      <c r="H15" s="1">
        <f t="shared" si="0"/>
        <v>27.909849238995339</v>
      </c>
      <c r="I15" s="1">
        <f t="shared" si="1"/>
        <v>27.909849238995339</v>
      </c>
      <c r="J15" s="1">
        <f t="shared" si="2"/>
        <v>27.606471656365784</v>
      </c>
      <c r="K15" s="1">
        <f t="shared" si="3"/>
        <v>27.606471656365784</v>
      </c>
      <c r="T15" s="1">
        <v>4.5</v>
      </c>
      <c r="U15" s="1">
        <f t="shared" si="4"/>
        <v>5.5555555555555554</v>
      </c>
      <c r="V15" s="1">
        <f t="shared" si="5"/>
        <v>5.5555555555555554</v>
      </c>
      <c r="W15" s="1">
        <f t="shared" si="6"/>
        <v>555.55555555555554</v>
      </c>
      <c r="X15" s="1">
        <f t="shared" si="7"/>
        <v>555.55555555555554</v>
      </c>
      <c r="AF15" s="1">
        <f t="shared" si="8"/>
        <v>4.6978411694026363</v>
      </c>
      <c r="AG15" s="1">
        <f t="shared" si="9"/>
        <v>4.6978411694026363</v>
      </c>
      <c r="AH15" s="1">
        <f t="shared" si="10"/>
        <v>469.78411694026363</v>
      </c>
      <c r="AI15" s="1">
        <f t="shared" si="11"/>
        <v>469.78411694026363</v>
      </c>
      <c r="AJ15" s="1">
        <f t="shared" si="12"/>
        <v>18.456114104924747</v>
      </c>
      <c r="AK15" s="1">
        <f t="shared" si="13"/>
        <v>18.456114104924747</v>
      </c>
      <c r="AL15" s="1">
        <f t="shared" si="16"/>
        <v>3.9286373122043146</v>
      </c>
      <c r="AM15" s="1">
        <f t="shared" si="17"/>
        <v>3.9286373122043146</v>
      </c>
      <c r="AN15" s="1">
        <f t="shared" si="14"/>
        <v>23.378053195757701</v>
      </c>
      <c r="AO15" s="1">
        <f t="shared" si="15"/>
        <v>23.378053195757701</v>
      </c>
      <c r="AP15" s="1">
        <f t="shared" si="18"/>
        <v>4.9219390908329537</v>
      </c>
      <c r="AQ15" s="1">
        <f t="shared" si="19"/>
        <v>4.9219390908329537</v>
      </c>
    </row>
    <row r="16" spans="2:56" x14ac:dyDescent="0.3">
      <c r="B16" s="1" t="s">
        <v>23</v>
      </c>
      <c r="C16" s="2" t="s">
        <v>24</v>
      </c>
      <c r="D16" s="5">
        <f>hhno0*theta0*income0/price0</f>
        <v>502.37728630191612</v>
      </c>
      <c r="E16" s="5">
        <f>hhno1*theta1*income1/price1</f>
        <v>502.37728630191612</v>
      </c>
      <c r="G16" s="1">
        <v>5</v>
      </c>
      <c r="H16" s="1">
        <f t="shared" si="0"/>
        <v>25.118864315095802</v>
      </c>
      <c r="I16" s="1">
        <f t="shared" si="1"/>
        <v>25.118864315095802</v>
      </c>
      <c r="J16" s="1">
        <f t="shared" si="2"/>
        <v>25.118301840406424</v>
      </c>
      <c r="K16" s="1">
        <f t="shared" si="3"/>
        <v>25.118301840406424</v>
      </c>
      <c r="T16" s="1">
        <v>5</v>
      </c>
      <c r="U16" s="1">
        <f t="shared" si="4"/>
        <v>5</v>
      </c>
      <c r="V16" s="1">
        <f t="shared" si="5"/>
        <v>5</v>
      </c>
      <c r="W16" s="1">
        <f t="shared" si="6"/>
        <v>500</v>
      </c>
      <c r="X16" s="1">
        <f t="shared" si="7"/>
        <v>500</v>
      </c>
      <c r="AF16" s="1">
        <f t="shared" si="8"/>
        <v>5.0396841995794937</v>
      </c>
      <c r="AG16" s="1">
        <f t="shared" si="9"/>
        <v>5.0396841995794937</v>
      </c>
      <c r="AH16" s="1">
        <f t="shared" si="10"/>
        <v>503.96841995794938</v>
      </c>
      <c r="AI16" s="1">
        <f t="shared" si="11"/>
        <v>503.96841995794938</v>
      </c>
      <c r="AJ16" s="1">
        <f t="shared" si="12"/>
        <v>20.079368399158994</v>
      </c>
      <c r="AK16" s="1">
        <f t="shared" si="13"/>
        <v>20.079368399158994</v>
      </c>
      <c r="AL16" s="1">
        <f t="shared" si="16"/>
        <v>3.9842513149602503</v>
      </c>
      <c r="AM16" s="1">
        <f t="shared" si="17"/>
        <v>3.9842513149602503</v>
      </c>
      <c r="AN16" s="1">
        <f t="shared" si="14"/>
        <v>25.07918021472198</v>
      </c>
      <c r="AO16" s="1">
        <f t="shared" si="15"/>
        <v>25.07918021472198</v>
      </c>
      <c r="AP16" s="1">
        <f t="shared" si="18"/>
        <v>4.9998118155629854</v>
      </c>
      <c r="AQ16" s="1">
        <f t="shared" si="19"/>
        <v>4.9998118155629854</v>
      </c>
    </row>
    <row r="17" spans="2:43" x14ac:dyDescent="0.3">
      <c r="B17" s="1" t="s">
        <v>25</v>
      </c>
      <c r="C17" s="2" t="s">
        <v>0</v>
      </c>
      <c r="D17" s="5">
        <f>Quantity0/hhno0</f>
        <v>5.0237728630191612</v>
      </c>
      <c r="E17" s="5">
        <f>Quantity1/hhno1</f>
        <v>5.0237728630191612</v>
      </c>
      <c r="G17" s="1">
        <v>5.5</v>
      </c>
      <c r="H17" s="1">
        <f t="shared" si="0"/>
        <v>22.835331195541634</v>
      </c>
      <c r="I17" s="1">
        <f t="shared" si="1"/>
        <v>22.835331195541634</v>
      </c>
      <c r="J17" s="1">
        <f t="shared" si="2"/>
        <v>22.630132024447068</v>
      </c>
      <c r="K17" s="1">
        <f t="shared" si="3"/>
        <v>22.630132024447068</v>
      </c>
      <c r="T17" s="1">
        <v>5.5</v>
      </c>
      <c r="U17" s="1">
        <f t="shared" si="4"/>
        <v>4.5454545454545459</v>
      </c>
      <c r="V17" s="1">
        <f t="shared" si="5"/>
        <v>4.5454545454545459</v>
      </c>
      <c r="W17" s="1">
        <f t="shared" si="6"/>
        <v>454.54545454545456</v>
      </c>
      <c r="X17" s="1">
        <f t="shared" si="7"/>
        <v>454.54545454545456</v>
      </c>
      <c r="AF17" s="1">
        <f t="shared" si="8"/>
        <v>5.3702987556692561</v>
      </c>
      <c r="AG17" s="1">
        <f t="shared" si="9"/>
        <v>5.3702987556692561</v>
      </c>
      <c r="AH17" s="1">
        <f t="shared" si="10"/>
        <v>537.02987556692563</v>
      </c>
      <c r="AI17" s="1">
        <f t="shared" si="11"/>
        <v>537.02987556692563</v>
      </c>
      <c r="AJ17" s="1">
        <f t="shared" si="12"/>
        <v>21.814657262472373</v>
      </c>
      <c r="AK17" s="1">
        <f t="shared" si="13"/>
        <v>21.814657262472373</v>
      </c>
      <c r="AL17" s="1">
        <f t="shared" si="16"/>
        <v>4.0620937968196502</v>
      </c>
      <c r="AM17" s="1">
        <f t="shared" si="17"/>
        <v>4.0620937968196502</v>
      </c>
      <c r="AN17" s="1">
        <f t="shared" si="14"/>
        <v>26.724430533080678</v>
      </c>
      <c r="AO17" s="1">
        <f t="shared" si="15"/>
        <v>26.724430533080678</v>
      </c>
      <c r="AP17" s="1">
        <f t="shared" si="18"/>
        <v>4.909773270608305</v>
      </c>
      <c r="AQ17" s="1">
        <f t="shared" si="19"/>
        <v>4.909773270608305</v>
      </c>
    </row>
    <row r="18" spans="2:43" x14ac:dyDescent="0.3">
      <c r="B18" s="1" t="s">
        <v>26</v>
      </c>
      <c r="C18" s="2" t="s">
        <v>27</v>
      </c>
      <c r="D18" s="2">
        <f>(1-theta0)*income0/pricez0</f>
        <v>25</v>
      </c>
      <c r="E18" s="2">
        <f>(1-theta1)*income1/pricez1</f>
        <v>25</v>
      </c>
      <c r="G18" s="1">
        <v>6</v>
      </c>
      <c r="H18" s="1">
        <f t="shared" si="0"/>
        <v>20.932386929246508</v>
      </c>
      <c r="I18" s="1">
        <f t="shared" si="1"/>
        <v>20.932386929246508</v>
      </c>
      <c r="J18" s="1">
        <f t="shared" si="2"/>
        <v>20.141962208487712</v>
      </c>
      <c r="K18" s="1">
        <f t="shared" si="3"/>
        <v>20.141962208487712</v>
      </c>
      <c r="T18" s="1">
        <v>6</v>
      </c>
      <c r="U18" s="1">
        <f t="shared" si="4"/>
        <v>4.166666666666667</v>
      </c>
      <c r="V18" s="1">
        <f t="shared" si="5"/>
        <v>4.166666666666667</v>
      </c>
      <c r="W18" s="1">
        <f t="shared" si="6"/>
        <v>416.66666666666669</v>
      </c>
      <c r="X18" s="1">
        <f t="shared" si="7"/>
        <v>416.66666666666669</v>
      </c>
      <c r="AF18" s="1">
        <f t="shared" si="8"/>
        <v>5.6910292871841017</v>
      </c>
      <c r="AG18" s="1">
        <f t="shared" si="9"/>
        <v>5.6910292871841017</v>
      </c>
      <c r="AH18" s="1">
        <f t="shared" si="10"/>
        <v>569.10292871841023</v>
      </c>
      <c r="AI18" s="1">
        <f t="shared" si="11"/>
        <v>569.10292871841023</v>
      </c>
      <c r="AJ18" s="1">
        <f t="shared" si="12"/>
        <v>23.658470289241855</v>
      </c>
      <c r="AK18" s="1">
        <f t="shared" si="13"/>
        <v>23.658470289241855</v>
      </c>
      <c r="AL18" s="1">
        <f t="shared" si="16"/>
        <v>4.157151386045312</v>
      </c>
      <c r="AM18" s="1">
        <f t="shared" si="17"/>
        <v>4.157151386045312</v>
      </c>
      <c r="AN18" s="1">
        <f t="shared" si="14"/>
        <v>28.32049458822436</v>
      </c>
      <c r="AO18" s="1">
        <f t="shared" si="15"/>
        <v>28.32049458822436</v>
      </c>
      <c r="AP18" s="1">
        <f t="shared" si="18"/>
        <v>4.6620242989825051</v>
      </c>
      <c r="AQ18" s="1">
        <f t="shared" si="19"/>
        <v>4.6620242989825051</v>
      </c>
    </row>
    <row r="19" spans="2:43" x14ac:dyDescent="0.3">
      <c r="B19" s="1" t="s">
        <v>28</v>
      </c>
      <c r="C19" s="2" t="s">
        <v>29</v>
      </c>
      <c r="D19" s="5">
        <f>(qdemand0^theta0)*(goodz0^(1-theta0))</f>
        <v>11.206887238456494</v>
      </c>
      <c r="E19" s="5">
        <f>(qdemand1^theta1)*(goodz1^(1-theta1))</f>
        <v>11.206887238456494</v>
      </c>
      <c r="G19" s="1">
        <v>6.5</v>
      </c>
      <c r="H19" s="1">
        <f t="shared" si="0"/>
        <v>19.322203319304467</v>
      </c>
      <c r="I19" s="1">
        <f t="shared" si="1"/>
        <v>19.322203319304467</v>
      </c>
      <c r="J19" s="1">
        <f t="shared" si="2"/>
        <v>17.653792392528352</v>
      </c>
      <c r="K19" s="1">
        <f t="shared" si="3"/>
        <v>17.653792392528352</v>
      </c>
      <c r="T19" s="1">
        <v>6.5</v>
      </c>
      <c r="U19" s="1">
        <f t="shared" si="4"/>
        <v>3.8461538461538463</v>
      </c>
      <c r="V19" s="1">
        <f t="shared" si="5"/>
        <v>3.8461538461538463</v>
      </c>
      <c r="W19" s="1">
        <f t="shared" si="6"/>
        <v>384.61538461538464</v>
      </c>
      <c r="X19" s="1">
        <f t="shared" si="7"/>
        <v>384.61538461538464</v>
      </c>
      <c r="AF19" s="1">
        <f t="shared" si="8"/>
        <v>6.0029615009744628</v>
      </c>
      <c r="AG19" s="1">
        <f t="shared" si="9"/>
        <v>6.0029615009744628</v>
      </c>
      <c r="AH19" s="1">
        <f t="shared" si="10"/>
        <v>600.29615009744623</v>
      </c>
      <c r="AI19" s="1">
        <f t="shared" si="11"/>
        <v>600.29615009744623</v>
      </c>
      <c r="AJ19" s="1">
        <f t="shared" si="12"/>
        <v>25.607699902533618</v>
      </c>
      <c r="AK19" s="1">
        <f t="shared" si="13"/>
        <v>25.607699902533618</v>
      </c>
      <c r="AL19" s="1">
        <f t="shared" si="16"/>
        <v>4.2658444333478922</v>
      </c>
      <c r="AM19" s="1">
        <f t="shared" si="17"/>
        <v>4.2658444333478922</v>
      </c>
      <c r="AN19" s="1">
        <f t="shared" si="14"/>
        <v>29.872775226181474</v>
      </c>
      <c r="AO19" s="1">
        <f t="shared" si="15"/>
        <v>29.872775226181474</v>
      </c>
      <c r="AP19" s="1">
        <f t="shared" si="18"/>
        <v>4.2650753236478565</v>
      </c>
      <c r="AQ19" s="1">
        <f t="shared" si="19"/>
        <v>4.2650753236478565</v>
      </c>
    </row>
    <row r="20" spans="2:43" x14ac:dyDescent="0.3">
      <c r="G20" s="1">
        <v>7</v>
      </c>
      <c r="H20" s="1">
        <f t="shared" si="0"/>
        <v>17.942045939354141</v>
      </c>
      <c r="I20" s="1">
        <f t="shared" si="1"/>
        <v>17.942045939354141</v>
      </c>
      <c r="J20" s="1">
        <f t="shared" si="2"/>
        <v>15.165622576568992</v>
      </c>
      <c r="K20" s="1">
        <f t="shared" si="3"/>
        <v>15.165622576568992</v>
      </c>
      <c r="T20" s="1">
        <v>7</v>
      </c>
      <c r="U20" s="1">
        <f t="shared" si="4"/>
        <v>3.5714285714285716</v>
      </c>
      <c r="V20" s="1">
        <f t="shared" si="5"/>
        <v>3.5714285714285716</v>
      </c>
      <c r="W20" s="1">
        <f t="shared" si="6"/>
        <v>357.14285714285717</v>
      </c>
      <c r="X20" s="1">
        <f t="shared" si="7"/>
        <v>357.14285714285717</v>
      </c>
      <c r="AF20" s="1">
        <f t="shared" si="8"/>
        <v>6.3069881304841955</v>
      </c>
      <c r="AG20" s="1">
        <f t="shared" si="9"/>
        <v>6.3069881304841955</v>
      </c>
      <c r="AH20" s="1">
        <f t="shared" si="10"/>
        <v>630.69881304841954</v>
      </c>
      <c r="AI20" s="1">
        <f t="shared" si="11"/>
        <v>630.69881304841954</v>
      </c>
      <c r="AJ20" s="1">
        <f t="shared" si="12"/>
        <v>27.659566765355763</v>
      </c>
      <c r="AK20" s="1">
        <f t="shared" si="13"/>
        <v>27.659566765355763</v>
      </c>
      <c r="AL20" s="1">
        <f t="shared" si="16"/>
        <v>4.3855428602546462</v>
      </c>
      <c r="AM20" s="1">
        <f t="shared" si="17"/>
        <v>4.3855428602546462</v>
      </c>
      <c r="AN20" s="1">
        <f t="shared" si="14"/>
        <v>31.385714991769426</v>
      </c>
      <c r="AO20" s="1">
        <f t="shared" si="15"/>
        <v>31.385714991769426</v>
      </c>
      <c r="AP20" s="1">
        <f t="shared" si="18"/>
        <v>3.7261482264136632</v>
      </c>
      <c r="AQ20" s="1">
        <f t="shared" si="19"/>
        <v>3.7261482264136632</v>
      </c>
    </row>
    <row r="21" spans="2:43" x14ac:dyDescent="0.3">
      <c r="G21" s="1">
        <v>7.5</v>
      </c>
      <c r="H21" s="1">
        <f t="shared" si="0"/>
        <v>16.7459095433972</v>
      </c>
      <c r="I21" s="1">
        <f t="shared" si="1"/>
        <v>16.7459095433972</v>
      </c>
      <c r="J21" s="1">
        <f t="shared" si="2"/>
        <v>12.67745276060964</v>
      </c>
      <c r="K21" s="1">
        <f t="shared" si="3"/>
        <v>12.67745276060964</v>
      </c>
      <c r="T21" s="1">
        <v>7.5</v>
      </c>
      <c r="U21" s="1">
        <f t="shared" si="4"/>
        <v>3.3333333333333335</v>
      </c>
      <c r="V21" s="1">
        <f t="shared" si="5"/>
        <v>3.3333333333333335</v>
      </c>
      <c r="W21" s="1">
        <f t="shared" si="6"/>
        <v>333.33333333333337</v>
      </c>
      <c r="X21" s="1">
        <f t="shared" si="7"/>
        <v>333.33333333333337</v>
      </c>
      <c r="AF21" s="1">
        <f t="shared" si="8"/>
        <v>6.6038544977892544</v>
      </c>
      <c r="AG21" s="1">
        <f t="shared" si="9"/>
        <v>6.6038544977892544</v>
      </c>
      <c r="AH21" s="1">
        <f t="shared" si="10"/>
        <v>660.38544977892548</v>
      </c>
      <c r="AI21" s="1">
        <f t="shared" si="11"/>
        <v>660.38544977892548</v>
      </c>
      <c r="AJ21" s="1">
        <f t="shared" si="12"/>
        <v>29.811563493367764</v>
      </c>
      <c r="AK21" s="1">
        <f t="shared" si="13"/>
        <v>29.811563493367764</v>
      </c>
      <c r="AL21" s="1">
        <f t="shared" si="16"/>
        <v>4.5142671606934499</v>
      </c>
      <c r="AM21" s="1">
        <f t="shared" si="17"/>
        <v>4.5142671606934499</v>
      </c>
      <c r="AN21" s="1">
        <f t="shared" si="14"/>
        <v>32.863022860773327</v>
      </c>
      <c r="AO21" s="1">
        <f t="shared" si="15"/>
        <v>32.863022860773327</v>
      </c>
      <c r="AP21" s="1">
        <f t="shared" si="18"/>
        <v>3.0514593674055632</v>
      </c>
      <c r="AQ21" s="1">
        <f t="shared" si="19"/>
        <v>3.0514593674055632</v>
      </c>
    </row>
    <row r="22" spans="2:43" x14ac:dyDescent="0.3">
      <c r="G22" s="1">
        <v>8</v>
      </c>
      <c r="H22" s="1">
        <f t="shared" si="0"/>
        <v>15.699290196934875</v>
      </c>
      <c r="I22" s="1">
        <f t="shared" si="1"/>
        <v>15.699290196934875</v>
      </c>
      <c r="J22" s="1">
        <f t="shared" si="2"/>
        <v>10.18928294465028</v>
      </c>
      <c r="K22" s="1">
        <f t="shared" si="3"/>
        <v>10.18928294465028</v>
      </c>
      <c r="T22" s="1">
        <v>8</v>
      </c>
      <c r="U22" s="1">
        <f t="shared" si="4"/>
        <v>3.125</v>
      </c>
      <c r="V22" s="1">
        <f t="shared" si="5"/>
        <v>3.125</v>
      </c>
      <c r="W22" s="1">
        <f t="shared" si="6"/>
        <v>312.5</v>
      </c>
      <c r="X22" s="1">
        <f t="shared" si="7"/>
        <v>312.5</v>
      </c>
      <c r="AF22" s="1">
        <f t="shared" si="8"/>
        <v>6.8941910081020303</v>
      </c>
      <c r="AG22" s="1">
        <f t="shared" si="9"/>
        <v>6.8941910081020303</v>
      </c>
      <c r="AH22" s="1">
        <f t="shared" si="10"/>
        <v>689.41910081020308</v>
      </c>
      <c r="AI22" s="1">
        <f t="shared" si="11"/>
        <v>689.41910081020308</v>
      </c>
      <c r="AJ22" s="1">
        <f t="shared" si="12"/>
        <v>32.061411225926513</v>
      </c>
      <c r="AK22" s="1">
        <f t="shared" si="13"/>
        <v>32.061411225926513</v>
      </c>
      <c r="AL22" s="1">
        <f t="shared" si="16"/>
        <v>4.650496510503995</v>
      </c>
      <c r="AM22" s="1">
        <f t="shared" si="17"/>
        <v>4.650496510503995</v>
      </c>
      <c r="AN22" s="1">
        <f t="shared" si="14"/>
        <v>34.307835943635773</v>
      </c>
      <c r="AO22" s="1">
        <f t="shared" si="15"/>
        <v>34.307835943635773</v>
      </c>
      <c r="AP22" s="1">
        <f t="shared" si="18"/>
        <v>2.2464247177092602</v>
      </c>
      <c r="AQ22" s="1">
        <f t="shared" si="19"/>
        <v>2.2464247177092602</v>
      </c>
    </row>
    <row r="23" spans="2:43" x14ac:dyDescent="0.3">
      <c r="G23" s="1">
        <v>8.5</v>
      </c>
      <c r="H23" s="1">
        <f t="shared" si="0"/>
        <v>14.775802538291646</v>
      </c>
      <c r="I23" s="1">
        <f t="shared" si="1"/>
        <v>14.775802538291646</v>
      </c>
      <c r="J23" s="1">
        <f t="shared" si="2"/>
        <v>7.7011131286909205</v>
      </c>
      <c r="K23" s="1">
        <f t="shared" si="3"/>
        <v>7.7011131286909205</v>
      </c>
      <c r="T23" s="1">
        <v>8.5</v>
      </c>
      <c r="U23" s="1">
        <f t="shared" si="4"/>
        <v>2.9411764705882355</v>
      </c>
      <c r="V23" s="1">
        <f t="shared" si="5"/>
        <v>2.9411764705882355</v>
      </c>
      <c r="W23" s="1">
        <f t="shared" si="6"/>
        <v>294.11764705882354</v>
      </c>
      <c r="X23" s="1">
        <f t="shared" si="7"/>
        <v>294.11764705882354</v>
      </c>
      <c r="AF23" s="1">
        <f t="shared" si="8"/>
        <v>7.1785369054504082</v>
      </c>
      <c r="AG23" s="1">
        <f t="shared" si="9"/>
        <v>7.1785369054504082</v>
      </c>
      <c r="AH23" s="1">
        <f t="shared" si="10"/>
        <v>717.85369054504088</v>
      </c>
      <c r="AI23" s="1">
        <f t="shared" si="11"/>
        <v>717.85369054504088</v>
      </c>
      <c r="AJ23" s="1">
        <f t="shared" si="12"/>
        <v>34.407025478531395</v>
      </c>
      <c r="AK23" s="1">
        <f t="shared" si="13"/>
        <v>34.407025478531395</v>
      </c>
      <c r="AL23" s="1">
        <f t="shared" si="16"/>
        <v>4.7930415252733969</v>
      </c>
      <c r="AM23" s="1">
        <f t="shared" si="17"/>
        <v>4.7930415252733969</v>
      </c>
      <c r="AN23" s="1">
        <f t="shared" si="14"/>
        <v>35.722837701783995</v>
      </c>
      <c r="AO23" s="1">
        <f t="shared" si="15"/>
        <v>35.722837701783995</v>
      </c>
      <c r="AP23" s="1">
        <f t="shared" si="18"/>
        <v>1.3158122232525997</v>
      </c>
      <c r="AQ23" s="1">
        <f t="shared" si="19"/>
        <v>1.3158122232525997</v>
      </c>
    </row>
    <row r="24" spans="2:43" x14ac:dyDescent="0.3">
      <c r="G24" s="1">
        <v>9</v>
      </c>
      <c r="H24" s="1">
        <f t="shared" si="0"/>
        <v>13.954924619497669</v>
      </c>
      <c r="I24" s="1">
        <f t="shared" si="1"/>
        <v>13.954924619497669</v>
      </c>
      <c r="J24" s="1">
        <f t="shared" si="2"/>
        <v>5.2129433127315679</v>
      </c>
      <c r="K24" s="1">
        <f t="shared" si="3"/>
        <v>5.2129433127315679</v>
      </c>
      <c r="T24" s="1">
        <v>9</v>
      </c>
      <c r="U24" s="1">
        <f t="shared" si="4"/>
        <v>2.7777777777777777</v>
      </c>
      <c r="V24" s="1">
        <f t="shared" si="5"/>
        <v>2.7777777777777777</v>
      </c>
      <c r="W24" s="1">
        <f t="shared" si="6"/>
        <v>277.77777777777777</v>
      </c>
      <c r="X24" s="1">
        <f t="shared" si="7"/>
        <v>277.77777777777777</v>
      </c>
      <c r="AF24" s="1">
        <f t="shared" si="8"/>
        <v>7.4573580142892624</v>
      </c>
      <c r="AG24" s="1">
        <f t="shared" si="9"/>
        <v>7.4573580142892624</v>
      </c>
      <c r="AH24" s="1">
        <f t="shared" si="10"/>
        <v>745.73580142892627</v>
      </c>
      <c r="AI24" s="1">
        <f t="shared" si="11"/>
        <v>745.73580142892627</v>
      </c>
      <c r="AJ24" s="1">
        <f t="shared" si="12"/>
        <v>36.846488851441364</v>
      </c>
      <c r="AK24" s="1">
        <f t="shared" si="13"/>
        <v>36.846488851441364</v>
      </c>
      <c r="AL24" s="1">
        <f t="shared" si="16"/>
        <v>4.940957478618933</v>
      </c>
      <c r="AM24" s="1">
        <f t="shared" si="17"/>
        <v>4.940957478618933</v>
      </c>
      <c r="AN24" s="1">
        <f t="shared" si="14"/>
        <v>37.110346235914307</v>
      </c>
      <c r="AO24" s="1">
        <f t="shared" si="15"/>
        <v>37.110346235914307</v>
      </c>
      <c r="AP24" s="1">
        <f t="shared" si="18"/>
        <v>0.26385738447294216</v>
      </c>
      <c r="AQ24" s="1">
        <f t="shared" si="19"/>
        <v>0.26385738447294216</v>
      </c>
    </row>
    <row r="25" spans="2:43" x14ac:dyDescent="0.3">
      <c r="G25" s="1">
        <v>9.5</v>
      </c>
      <c r="H25" s="1">
        <f t="shared" si="0"/>
        <v>13.220454902682004</v>
      </c>
      <c r="I25" s="1">
        <f t="shared" si="1"/>
        <v>13.220454902682004</v>
      </c>
      <c r="J25" s="1">
        <f t="shared" si="2"/>
        <v>2.7247734967722081</v>
      </c>
      <c r="K25" s="1">
        <f t="shared" si="3"/>
        <v>2.7247734967722081</v>
      </c>
      <c r="T25" s="1">
        <v>9.5</v>
      </c>
      <c r="U25" s="1">
        <f t="shared" si="4"/>
        <v>2.6315789473684212</v>
      </c>
      <c r="V25" s="1">
        <f t="shared" si="5"/>
        <v>2.6315789473684212</v>
      </c>
      <c r="W25" s="1">
        <f t="shared" si="6"/>
        <v>263.15789473684214</v>
      </c>
      <c r="X25" s="1">
        <f t="shared" si="7"/>
        <v>263.15789473684214</v>
      </c>
      <c r="AF25" s="1">
        <f t="shared" si="8"/>
        <v>7.731060238252371</v>
      </c>
      <c r="AG25" s="1">
        <f t="shared" si="9"/>
        <v>7.731060238252371</v>
      </c>
      <c r="AH25" s="1">
        <f t="shared" si="10"/>
        <v>773.10602382523712</v>
      </c>
      <c r="AI25" s="1">
        <f t="shared" si="11"/>
        <v>773.10602382523712</v>
      </c>
      <c r="AJ25" s="1">
        <f t="shared" si="12"/>
        <v>39.378028905359045</v>
      </c>
      <c r="AK25" s="1">
        <f t="shared" si="13"/>
        <v>39.378028905359045</v>
      </c>
      <c r="AL25" s="1">
        <f t="shared" si="16"/>
        <v>5.0934836480152121</v>
      </c>
      <c r="AM25" s="1">
        <f t="shared" si="17"/>
        <v>5.0934836480152121</v>
      </c>
      <c r="AN25" s="1">
        <f t="shared" si="14"/>
        <v>38.472381460366215</v>
      </c>
      <c r="AO25" s="1">
        <f t="shared" si="15"/>
        <v>38.472381460366215</v>
      </c>
      <c r="AP25" s="1">
        <f t="shared" si="18"/>
        <v>-0.90564744499283023</v>
      </c>
      <c r="AQ25" s="1">
        <f t="shared" si="19"/>
        <v>-0.90564744499283023</v>
      </c>
    </row>
    <row r="26" spans="2:43" x14ac:dyDescent="0.3">
      <c r="G26" s="1">
        <v>10</v>
      </c>
      <c r="H26" s="1">
        <f t="shared" si="0"/>
        <v>12.559432157547899</v>
      </c>
      <c r="I26" s="1">
        <f t="shared" si="1"/>
        <v>12.559432157547899</v>
      </c>
      <c r="J26" s="1">
        <f t="shared" si="2"/>
        <v>0.23660368081284844</v>
      </c>
      <c r="K26" s="1">
        <f t="shared" si="3"/>
        <v>0.23660368081284844</v>
      </c>
      <c r="T26" s="1">
        <v>10</v>
      </c>
      <c r="U26" s="1">
        <f t="shared" si="4"/>
        <v>2.5</v>
      </c>
      <c r="V26" s="1">
        <f t="shared" si="5"/>
        <v>2.5</v>
      </c>
      <c r="W26" s="1">
        <f t="shared" si="6"/>
        <v>250</v>
      </c>
      <c r="X26" s="1">
        <f t="shared" si="7"/>
        <v>250</v>
      </c>
      <c r="AF26" s="1">
        <f t="shared" si="8"/>
        <v>8.0000000000000018</v>
      </c>
      <c r="AG26" s="1">
        <f t="shared" si="9"/>
        <v>8.0000000000000018</v>
      </c>
      <c r="AH26" s="1">
        <f t="shared" si="10"/>
        <v>800.00000000000023</v>
      </c>
      <c r="AI26" s="1">
        <f t="shared" si="11"/>
        <v>800.00000000000023</v>
      </c>
      <c r="AJ26" s="1">
        <f t="shared" si="12"/>
        <v>42.000000000000014</v>
      </c>
      <c r="AK26" s="1">
        <f t="shared" si="13"/>
        <v>42.000000000000014</v>
      </c>
      <c r="AL26" s="1">
        <f t="shared" si="16"/>
        <v>5.2500000000000009</v>
      </c>
      <c r="AM26" s="1">
        <f t="shared" si="17"/>
        <v>5.2500000000000009</v>
      </c>
      <c r="AN26" s="1">
        <f t="shared" si="14"/>
        <v>39.810717055349727</v>
      </c>
      <c r="AO26" s="1">
        <f t="shared" si="15"/>
        <v>39.810717055349727</v>
      </c>
      <c r="AP26" s="1">
        <f t="shared" si="18"/>
        <v>-2.1892829446502873</v>
      </c>
      <c r="AQ26" s="1">
        <f t="shared" si="19"/>
        <v>-2.1892829446502873</v>
      </c>
    </row>
    <row r="27" spans="2:43" x14ac:dyDescent="0.3">
      <c r="G27" s="1">
        <v>10.5</v>
      </c>
      <c r="H27" s="1">
        <f t="shared" si="0"/>
        <v>11.961363959569429</v>
      </c>
      <c r="I27" s="1">
        <f t="shared" si="1"/>
        <v>11.961363959569429</v>
      </c>
      <c r="J27" s="1">
        <f t="shared" si="2"/>
        <v>-2.2515661351465042</v>
      </c>
      <c r="K27" s="1">
        <f t="shared" si="3"/>
        <v>-2.2515661351465042</v>
      </c>
      <c r="T27" s="1">
        <v>10.5</v>
      </c>
      <c r="U27" s="1">
        <f t="shared" si="4"/>
        <v>2.3809523809523809</v>
      </c>
      <c r="V27" s="1">
        <f t="shared" si="5"/>
        <v>2.3809523809523809</v>
      </c>
      <c r="W27" s="1">
        <f t="shared" si="6"/>
        <v>238.0952380952381</v>
      </c>
      <c r="X27" s="1">
        <f t="shared" si="7"/>
        <v>238.0952380952381</v>
      </c>
      <c r="AF27" s="1">
        <f t="shared" si="8"/>
        <v>8.2644924331720571</v>
      </c>
      <c r="AG27" s="1">
        <f t="shared" si="9"/>
        <v>8.2644924331720571</v>
      </c>
      <c r="AH27" s="1">
        <f t="shared" si="10"/>
        <v>826.44924331720574</v>
      </c>
      <c r="AI27" s="1">
        <f t="shared" si="11"/>
        <v>826.44924331720574</v>
      </c>
      <c r="AJ27" s="1">
        <f t="shared" si="12"/>
        <v>44.71086821932267</v>
      </c>
      <c r="AK27" s="1">
        <f t="shared" si="13"/>
        <v>44.71086821932267</v>
      </c>
      <c r="AL27" s="1">
        <f t="shared" si="16"/>
        <v>5.4099956628748291</v>
      </c>
      <c r="AM27" s="1">
        <f t="shared" si="17"/>
        <v>5.4099956628748291</v>
      </c>
      <c r="AN27" s="1">
        <f t="shared" si="14"/>
        <v>41.126921232886438</v>
      </c>
      <c r="AO27" s="1">
        <f t="shared" si="15"/>
        <v>41.126921232886438</v>
      </c>
      <c r="AP27" s="1">
        <f t="shared" si="18"/>
        <v>-3.5839469864362314</v>
      </c>
      <c r="AQ27" s="1">
        <f t="shared" si="19"/>
        <v>-3.5839469864362314</v>
      </c>
    </row>
    <row r="28" spans="2:43" x14ac:dyDescent="0.3">
      <c r="G28" s="1">
        <v>11</v>
      </c>
      <c r="H28" s="1">
        <f t="shared" si="0"/>
        <v>11.417665597770821</v>
      </c>
      <c r="I28" s="1">
        <f t="shared" si="1"/>
        <v>11.417665597770821</v>
      </c>
      <c r="J28" s="1">
        <f t="shared" si="2"/>
        <v>-4.7397359511058639</v>
      </c>
      <c r="K28" s="1">
        <f t="shared" si="3"/>
        <v>-4.7397359511058639</v>
      </c>
      <c r="T28" s="1">
        <v>11</v>
      </c>
      <c r="U28" s="1">
        <f t="shared" si="4"/>
        <v>2.2727272727272729</v>
      </c>
      <c r="V28" s="1">
        <f t="shared" si="5"/>
        <v>2.2727272727272729</v>
      </c>
      <c r="W28" s="1">
        <f t="shared" si="6"/>
        <v>227.27272727272728</v>
      </c>
      <c r="X28" s="1">
        <f t="shared" si="7"/>
        <v>227.27272727272728</v>
      </c>
      <c r="AF28" s="1">
        <f t="shared" si="8"/>
        <v>8.5248178941328892</v>
      </c>
      <c r="AG28" s="1">
        <f t="shared" si="9"/>
        <v>8.5248178941328892</v>
      </c>
      <c r="AH28" s="1">
        <f t="shared" si="10"/>
        <v>852.48178941328888</v>
      </c>
      <c r="AI28" s="1">
        <f t="shared" si="11"/>
        <v>852.48178941328888</v>
      </c>
      <c r="AJ28" s="1">
        <f t="shared" si="12"/>
        <v>47.509198734184736</v>
      </c>
      <c r="AK28" s="1">
        <f t="shared" si="13"/>
        <v>47.509198734184736</v>
      </c>
      <c r="AL28" s="1">
        <f t="shared" si="16"/>
        <v>5.5730455857458736</v>
      </c>
      <c r="AM28" s="1">
        <f t="shared" si="17"/>
        <v>5.5730455857458736</v>
      </c>
      <c r="AN28" s="1">
        <f t="shared" si="14"/>
        <v>42.422389141463334</v>
      </c>
      <c r="AO28" s="1">
        <f t="shared" si="15"/>
        <v>42.422389141463334</v>
      </c>
      <c r="AP28" s="1">
        <f t="shared" si="18"/>
        <v>-5.0868095927214014</v>
      </c>
      <c r="AQ28" s="1">
        <f t="shared" si="19"/>
        <v>-5.0868095927214014</v>
      </c>
    </row>
    <row r="29" spans="2:43" x14ac:dyDescent="0.3">
      <c r="G29" s="1">
        <v>11.5</v>
      </c>
      <c r="H29" s="1">
        <f t="shared" si="0"/>
        <v>10.921245354389479</v>
      </c>
      <c r="I29" s="1">
        <f t="shared" si="1"/>
        <v>10.921245354389479</v>
      </c>
      <c r="J29" s="1">
        <f t="shared" si="2"/>
        <v>-7.2279057670652236</v>
      </c>
      <c r="K29" s="1">
        <f t="shared" si="3"/>
        <v>-7.2279057670652236</v>
      </c>
      <c r="T29" s="1">
        <v>11.5</v>
      </c>
      <c r="U29" s="1">
        <f t="shared" si="4"/>
        <v>2.1739130434782608</v>
      </c>
      <c r="V29" s="1">
        <f t="shared" si="5"/>
        <v>2.1739130434782608</v>
      </c>
      <c r="W29" s="1">
        <f t="shared" si="6"/>
        <v>217.39130434782606</v>
      </c>
      <c r="X29" s="1">
        <f t="shared" si="7"/>
        <v>217.39130434782606</v>
      </c>
      <c r="AF29" s="1">
        <f t="shared" si="8"/>
        <v>8.7812271986000514</v>
      </c>
      <c r="AG29" s="1">
        <f t="shared" si="9"/>
        <v>8.7812271986000514</v>
      </c>
      <c r="AH29" s="1">
        <f t="shared" si="10"/>
        <v>878.12271986000519</v>
      </c>
      <c r="AI29" s="1">
        <f t="shared" si="11"/>
        <v>878.12271986000519</v>
      </c>
      <c r="AJ29" s="1">
        <f t="shared" si="12"/>
        <v>50.393645113560254</v>
      </c>
      <c r="AK29" s="1">
        <f t="shared" si="13"/>
        <v>50.393645113560254</v>
      </c>
      <c r="AL29" s="1">
        <f t="shared" si="16"/>
        <v>5.7387929925778787</v>
      </c>
      <c r="AM29" s="1">
        <f t="shared" si="17"/>
        <v>5.7387929925778787</v>
      </c>
      <c r="AN29" s="1">
        <f t="shared" si="14"/>
        <v>43.698368925275986</v>
      </c>
      <c r="AO29" s="1">
        <f t="shared" si="15"/>
        <v>43.698368925275986</v>
      </c>
      <c r="AP29" s="1">
        <f t="shared" si="18"/>
        <v>-6.695276188284268</v>
      </c>
      <c r="AQ29" s="1">
        <f t="shared" si="19"/>
        <v>-6.695276188284268</v>
      </c>
    </row>
    <row r="30" spans="2:43" x14ac:dyDescent="0.3">
      <c r="G30" s="1">
        <v>12</v>
      </c>
      <c r="H30" s="1">
        <f t="shared" si="0"/>
        <v>10.466193464623251</v>
      </c>
      <c r="I30" s="1">
        <f t="shared" si="1"/>
        <v>10.466193464623251</v>
      </c>
      <c r="J30" s="1">
        <f t="shared" si="2"/>
        <v>-9.7160755830245762</v>
      </c>
      <c r="K30" s="1">
        <f t="shared" si="3"/>
        <v>-9.7160755830245762</v>
      </c>
      <c r="T30" s="1">
        <v>12</v>
      </c>
      <c r="U30" s="1">
        <f t="shared" si="4"/>
        <v>2.0833333333333335</v>
      </c>
      <c r="V30" s="1">
        <f t="shared" si="5"/>
        <v>2.0833333333333335</v>
      </c>
      <c r="W30" s="1">
        <f t="shared" si="6"/>
        <v>208.33333333333334</v>
      </c>
      <c r="X30" s="1">
        <f t="shared" si="7"/>
        <v>208.33333333333334</v>
      </c>
      <c r="AF30" s="1">
        <f t="shared" si="8"/>
        <v>9.033945877257878</v>
      </c>
      <c r="AG30" s="1">
        <f t="shared" si="9"/>
        <v>9.033945877257878</v>
      </c>
      <c r="AH30" s="1">
        <f t="shared" si="10"/>
        <v>903.3945877257878</v>
      </c>
      <c r="AI30" s="1">
        <f t="shared" si="11"/>
        <v>903.3945877257878</v>
      </c>
      <c r="AJ30" s="1">
        <f t="shared" si="12"/>
        <v>53.362940210837863</v>
      </c>
      <c r="AK30" s="1">
        <f t="shared" si="13"/>
        <v>53.362940210837863</v>
      </c>
      <c r="AL30" s="1">
        <f t="shared" si="16"/>
        <v>5.906936009565225</v>
      </c>
      <c r="AM30" s="1">
        <f t="shared" si="17"/>
        <v>5.906936009565225</v>
      </c>
      <c r="AN30" s="1">
        <f t="shared" si="14"/>
        <v>44.955982901607058</v>
      </c>
      <c r="AO30" s="1">
        <f t="shared" si="15"/>
        <v>44.955982901607058</v>
      </c>
      <c r="AP30" s="1">
        <f t="shared" si="18"/>
        <v>-8.4069573092308048</v>
      </c>
      <c r="AQ30" s="1">
        <f t="shared" si="19"/>
        <v>-8.4069573092308048</v>
      </c>
    </row>
    <row r="31" spans="2:43" x14ac:dyDescent="0.3">
      <c r="G31" s="1">
        <v>12.5</v>
      </c>
      <c r="H31" s="1">
        <f t="shared" si="0"/>
        <v>10.047545726038322</v>
      </c>
      <c r="I31" s="1">
        <f t="shared" si="1"/>
        <v>10.047545726038322</v>
      </c>
      <c r="J31" s="1">
        <f t="shared" si="2"/>
        <v>-12.204245398983936</v>
      </c>
      <c r="K31" s="1">
        <f t="shared" si="3"/>
        <v>-12.204245398983936</v>
      </c>
      <c r="T31" s="1">
        <v>12.5</v>
      </c>
      <c r="U31" s="1">
        <f t="shared" si="4"/>
        <v>2</v>
      </c>
      <c r="V31" s="1">
        <f t="shared" si="5"/>
        <v>2</v>
      </c>
      <c r="W31" s="1">
        <f t="shared" si="6"/>
        <v>200</v>
      </c>
      <c r="X31" s="1">
        <f t="shared" si="7"/>
        <v>200</v>
      </c>
      <c r="AF31" s="1">
        <f t="shared" si="8"/>
        <v>9.2831776672255604</v>
      </c>
      <c r="AG31" s="1">
        <f t="shared" si="9"/>
        <v>9.2831776672255604</v>
      </c>
      <c r="AH31" s="1">
        <f t="shared" si="10"/>
        <v>928.31776672255603</v>
      </c>
      <c r="AI31" s="1">
        <f t="shared" si="11"/>
        <v>928.31776672255603</v>
      </c>
      <c r="AJ31" s="1">
        <f t="shared" si="12"/>
        <v>56.41588833612785</v>
      </c>
      <c r="AK31" s="1">
        <f t="shared" si="13"/>
        <v>56.41588833612785</v>
      </c>
      <c r="AL31" s="1">
        <f t="shared" si="16"/>
        <v>6.0772173450159466</v>
      </c>
      <c r="AM31" s="1">
        <f t="shared" si="17"/>
        <v>6.0772173450159466</v>
      </c>
      <c r="AN31" s="1">
        <f t="shared" si="14"/>
        <v>46.196244935557282</v>
      </c>
      <c r="AO31" s="1">
        <f t="shared" si="15"/>
        <v>46.196244935557282</v>
      </c>
      <c r="AP31" s="1">
        <f t="shared" si="18"/>
        <v>-10.219643400570568</v>
      </c>
      <c r="AQ31" s="1">
        <f t="shared" si="19"/>
        <v>-10.219643400570568</v>
      </c>
    </row>
    <row r="32" spans="2:43" x14ac:dyDescent="0.3">
      <c r="G32" s="1">
        <v>13</v>
      </c>
      <c r="H32" s="1">
        <f t="shared" si="0"/>
        <v>9.6611016596522337</v>
      </c>
      <c r="I32" s="1">
        <f t="shared" si="1"/>
        <v>9.6611016596522337</v>
      </c>
      <c r="J32" s="1">
        <f t="shared" si="2"/>
        <v>-14.692415214943296</v>
      </c>
      <c r="K32" s="1">
        <f t="shared" si="3"/>
        <v>-14.692415214943296</v>
      </c>
      <c r="T32" s="1">
        <v>13</v>
      </c>
      <c r="U32" s="1">
        <f t="shared" si="4"/>
        <v>1.9230769230769231</v>
      </c>
      <c r="V32" s="1">
        <f t="shared" si="5"/>
        <v>1.9230769230769231</v>
      </c>
      <c r="W32" s="1">
        <f t="shared" si="6"/>
        <v>192.30769230769232</v>
      </c>
      <c r="X32" s="1">
        <f t="shared" si="7"/>
        <v>192.30769230769232</v>
      </c>
      <c r="AF32" s="1">
        <f t="shared" si="8"/>
        <v>9.5291074015714656</v>
      </c>
      <c r="AG32" s="1">
        <f t="shared" si="9"/>
        <v>9.5291074015714656</v>
      </c>
      <c r="AH32" s="1">
        <f t="shared" si="10"/>
        <v>952.91074015714662</v>
      </c>
      <c r="AI32" s="1">
        <f t="shared" si="11"/>
        <v>952.91074015714662</v>
      </c>
      <c r="AJ32" s="1">
        <f t="shared" si="12"/>
        <v>59.551358488171687</v>
      </c>
      <c r="AK32" s="1">
        <f t="shared" si="13"/>
        <v>59.551358488171687</v>
      </c>
      <c r="AL32" s="1">
        <f t="shared" si="16"/>
        <v>6.2494162337126085</v>
      </c>
      <c r="AM32" s="1">
        <f t="shared" si="17"/>
        <v>6.2494162337126085</v>
      </c>
      <c r="AN32" s="1">
        <f t="shared" si="14"/>
        <v>47.420074819250047</v>
      </c>
      <c r="AO32" s="1">
        <f t="shared" si="15"/>
        <v>47.420074819250047</v>
      </c>
      <c r="AP32" s="1">
        <f t="shared" si="18"/>
        <v>-12.13128366892164</v>
      </c>
      <c r="AQ32" s="1">
        <f t="shared" si="19"/>
        <v>-12.13128366892164</v>
      </c>
    </row>
    <row r="33" spans="7:43" x14ac:dyDescent="0.3">
      <c r="G33" s="1">
        <v>13.5</v>
      </c>
      <c r="H33" s="1">
        <f t="shared" si="0"/>
        <v>9.3032830796651123</v>
      </c>
      <c r="I33" s="1">
        <f t="shared" si="1"/>
        <v>9.3032830796651123</v>
      </c>
      <c r="J33" s="1">
        <f t="shared" si="2"/>
        <v>-17.180585030902648</v>
      </c>
      <c r="K33" s="1">
        <f t="shared" si="3"/>
        <v>-17.180585030902648</v>
      </c>
      <c r="T33" s="1">
        <v>13.5</v>
      </c>
      <c r="U33" s="1">
        <f t="shared" si="4"/>
        <v>1.8518518518518519</v>
      </c>
      <c r="V33" s="1">
        <f t="shared" si="5"/>
        <v>1.8518518518518519</v>
      </c>
      <c r="W33" s="1">
        <f t="shared" si="6"/>
        <v>185.18518518518519</v>
      </c>
      <c r="X33" s="1">
        <f t="shared" si="7"/>
        <v>185.18518518518519</v>
      </c>
      <c r="AF33" s="1">
        <f t="shared" si="8"/>
        <v>9.7719034197416672</v>
      </c>
      <c r="AG33" s="1">
        <f t="shared" si="9"/>
        <v>9.7719034197416672</v>
      </c>
      <c r="AH33" s="1">
        <f t="shared" si="10"/>
        <v>977.1903419741667</v>
      </c>
      <c r="AI33" s="1">
        <f t="shared" si="11"/>
        <v>977.1903419741667</v>
      </c>
      <c r="AJ33" s="1">
        <f t="shared" si="12"/>
        <v>62.768278466605054</v>
      </c>
      <c r="AK33" s="1">
        <f t="shared" si="13"/>
        <v>62.768278466605054</v>
      </c>
      <c r="AL33" s="1">
        <f t="shared" si="16"/>
        <v>6.423342082955668</v>
      </c>
      <c r="AM33" s="1">
        <f t="shared" si="17"/>
        <v>6.423342082955668</v>
      </c>
      <c r="AN33" s="1">
        <f t="shared" si="14"/>
        <v>48.628310266942478</v>
      </c>
      <c r="AO33" s="1">
        <f t="shared" si="15"/>
        <v>48.628310266942478</v>
      </c>
      <c r="AP33" s="1">
        <f t="shared" si="18"/>
        <v>-14.139968199662576</v>
      </c>
      <c r="AQ33" s="1">
        <f t="shared" si="19"/>
        <v>-14.139968199662576</v>
      </c>
    </row>
    <row r="34" spans="7:43" x14ac:dyDescent="0.3">
      <c r="G34" s="1">
        <v>14</v>
      </c>
      <c r="H34" s="1">
        <f t="shared" si="0"/>
        <v>8.9710229696770742</v>
      </c>
      <c r="I34" s="1">
        <f t="shared" si="1"/>
        <v>8.9710229696770742</v>
      </c>
      <c r="J34" s="1">
        <f t="shared" si="2"/>
        <v>-19.668754846862015</v>
      </c>
      <c r="K34" s="1">
        <f t="shared" si="3"/>
        <v>-19.668754846862015</v>
      </c>
      <c r="T34" s="1">
        <v>14</v>
      </c>
      <c r="U34" s="1">
        <f t="shared" si="4"/>
        <v>1.7857142857142858</v>
      </c>
      <c r="V34" s="1">
        <f t="shared" si="5"/>
        <v>1.7857142857142858</v>
      </c>
      <c r="W34" s="1">
        <f t="shared" si="6"/>
        <v>178.57142857142858</v>
      </c>
      <c r="X34" s="1">
        <f t="shared" si="7"/>
        <v>178.57142857142858</v>
      </c>
      <c r="AF34" s="1">
        <f t="shared" si="8"/>
        <v>10.01171959308156</v>
      </c>
      <c r="AG34" s="1">
        <f t="shared" si="9"/>
        <v>10.01171959308156</v>
      </c>
      <c r="AH34" s="1">
        <f t="shared" si="10"/>
        <v>1001.171959308156</v>
      </c>
      <c r="AI34" s="1">
        <f t="shared" si="11"/>
        <v>1001.171959308156</v>
      </c>
      <c r="AJ34" s="1">
        <f t="shared" si="12"/>
        <v>66.065629721256755</v>
      </c>
      <c r="AK34" s="1">
        <f t="shared" si="13"/>
        <v>66.065629721256755</v>
      </c>
      <c r="AL34" s="1">
        <f t="shared" si="16"/>
        <v>6.5988294125726776</v>
      </c>
      <c r="AM34" s="1">
        <f t="shared" si="17"/>
        <v>6.5988294125726776</v>
      </c>
      <c r="AN34" s="1">
        <f t="shared" si="14"/>
        <v>49.821716994708879</v>
      </c>
      <c r="AO34" s="1">
        <f t="shared" si="15"/>
        <v>49.821716994708879</v>
      </c>
      <c r="AP34" s="1">
        <f t="shared" si="18"/>
        <v>-16.243912726547876</v>
      </c>
      <c r="AQ34" s="1">
        <f t="shared" si="19"/>
        <v>-16.243912726547876</v>
      </c>
    </row>
    <row r="35" spans="7:43" x14ac:dyDescent="0.3">
      <c r="G35" s="1">
        <v>14.5</v>
      </c>
      <c r="H35" s="1">
        <f t="shared" si="0"/>
        <v>8.6616773500330346</v>
      </c>
      <c r="I35" s="1">
        <f t="shared" si="1"/>
        <v>8.6616773500330346</v>
      </c>
      <c r="J35" s="1">
        <f t="shared" si="2"/>
        <v>-22.156924662821368</v>
      </c>
      <c r="K35" s="1">
        <f t="shared" si="3"/>
        <v>-22.156924662821368</v>
      </c>
      <c r="T35" s="1">
        <v>14.5</v>
      </c>
      <c r="U35" s="1">
        <f t="shared" si="4"/>
        <v>1.7241379310344827</v>
      </c>
      <c r="V35" s="1">
        <f t="shared" si="5"/>
        <v>1.7241379310344827</v>
      </c>
      <c r="W35" s="1">
        <f t="shared" si="6"/>
        <v>172.41379310344826</v>
      </c>
      <c r="X35" s="1">
        <f t="shared" si="7"/>
        <v>172.41379310344826</v>
      </c>
      <c r="AF35" s="1">
        <f t="shared" si="8"/>
        <v>10.248697038422096</v>
      </c>
      <c r="AG35" s="1">
        <f t="shared" si="9"/>
        <v>10.248697038422096</v>
      </c>
      <c r="AH35" s="1">
        <f t="shared" si="10"/>
        <v>1024.8697038422097</v>
      </c>
      <c r="AI35" s="1">
        <f t="shared" si="11"/>
        <v>1024.8697038422097</v>
      </c>
      <c r="AJ35" s="1">
        <f t="shared" si="12"/>
        <v>69.442442822848164</v>
      </c>
      <c r="AK35" s="1">
        <f t="shared" si="13"/>
        <v>69.442442822848164</v>
      </c>
      <c r="AL35" s="1">
        <f t="shared" si="16"/>
        <v>6.7757337896232341</v>
      </c>
      <c r="AM35" s="1">
        <f t="shared" si="17"/>
        <v>6.7757337896232341</v>
      </c>
      <c r="AN35" s="1">
        <f t="shared" si="14"/>
        <v>51.000997247827833</v>
      </c>
      <c r="AO35" s="1">
        <f t="shared" si="15"/>
        <v>51.000997247827833</v>
      </c>
      <c r="AP35" s="1">
        <f t="shared" si="18"/>
        <v>-18.441445575020332</v>
      </c>
      <c r="AQ35" s="1">
        <f t="shared" si="19"/>
        <v>-18.441445575020332</v>
      </c>
    </row>
    <row r="36" spans="7:43" x14ac:dyDescent="0.3">
      <c r="G36" s="1">
        <v>15</v>
      </c>
      <c r="H36" s="1">
        <f t="shared" si="0"/>
        <v>8.3729547716986001</v>
      </c>
      <c r="I36" s="1">
        <f t="shared" si="1"/>
        <v>8.3729547716986001</v>
      </c>
      <c r="J36" s="1">
        <f t="shared" si="2"/>
        <v>-24.64509447878072</v>
      </c>
      <c r="K36" s="1">
        <f t="shared" si="3"/>
        <v>-24.64509447878072</v>
      </c>
      <c r="T36" s="1">
        <v>15</v>
      </c>
      <c r="U36" s="1">
        <f t="shared" si="4"/>
        <v>1.6666666666666667</v>
      </c>
      <c r="V36" s="1">
        <f t="shared" si="5"/>
        <v>1.6666666666666667</v>
      </c>
      <c r="W36" s="1">
        <f t="shared" si="6"/>
        <v>166.66666666666669</v>
      </c>
      <c r="X36" s="1">
        <f t="shared" si="7"/>
        <v>166.66666666666669</v>
      </c>
      <c r="AF36" s="1">
        <f t="shared" si="8"/>
        <v>10.482965576835587</v>
      </c>
      <c r="AG36" s="1">
        <f t="shared" si="9"/>
        <v>10.482965576835587</v>
      </c>
      <c r="AH36" s="1">
        <f t="shared" si="10"/>
        <v>1048.2965576835588</v>
      </c>
      <c r="AI36" s="1">
        <f t="shared" si="11"/>
        <v>1048.2965576835588</v>
      </c>
      <c r="AJ36" s="1">
        <f t="shared" si="12"/>
        <v>72.897793461013549</v>
      </c>
      <c r="AK36" s="1">
        <f t="shared" si="13"/>
        <v>72.897793461013549</v>
      </c>
      <c r="AL36" s="1">
        <f t="shared" si="16"/>
        <v>6.9539285354611122</v>
      </c>
      <c r="AM36" s="1">
        <f t="shared" si="17"/>
        <v>6.9539285354611122</v>
      </c>
      <c r="AN36" s="1">
        <f t="shared" si="14"/>
        <v>52.166797060046569</v>
      </c>
      <c r="AO36" s="1">
        <f t="shared" si="15"/>
        <v>52.166797060046569</v>
      </c>
      <c r="AP36" s="1">
        <f t="shared" si="18"/>
        <v>-20.73099640096698</v>
      </c>
      <c r="AQ36" s="1">
        <f t="shared" si="19"/>
        <v>-20.73099640096698</v>
      </c>
    </row>
    <row r="37" spans="7:43" x14ac:dyDescent="0.3">
      <c r="G37" s="1">
        <v>15.5</v>
      </c>
      <c r="H37" s="1">
        <f t="shared" si="0"/>
        <v>8.102859456482518</v>
      </c>
      <c r="I37" s="1">
        <f t="shared" si="1"/>
        <v>8.102859456482518</v>
      </c>
      <c r="J37" s="1">
        <f t="shared" si="2"/>
        <v>-27.133264294740087</v>
      </c>
      <c r="K37" s="1">
        <f t="shared" si="3"/>
        <v>-27.133264294740087</v>
      </c>
      <c r="T37" s="1">
        <v>15.5</v>
      </c>
      <c r="U37" s="1">
        <f t="shared" si="4"/>
        <v>1.6129032258064515</v>
      </c>
      <c r="V37" s="1">
        <f t="shared" si="5"/>
        <v>1.6129032258064515</v>
      </c>
      <c r="W37" s="1">
        <f t="shared" si="6"/>
        <v>161.29032258064515</v>
      </c>
      <c r="X37" s="1">
        <f t="shared" si="7"/>
        <v>161.29032258064515</v>
      </c>
      <c r="AF37" s="1">
        <f t="shared" si="8"/>
        <v>10.714644982661975</v>
      </c>
      <c r="AG37" s="1">
        <f t="shared" si="9"/>
        <v>10.714644982661975</v>
      </c>
      <c r="AH37" s="1">
        <f t="shared" si="10"/>
        <v>1071.4644982661976</v>
      </c>
      <c r="AI37" s="1">
        <f t="shared" si="11"/>
        <v>1071.4644982661976</v>
      </c>
      <c r="AJ37" s="1">
        <f t="shared" si="12"/>
        <v>76.430798892504271</v>
      </c>
      <c r="AK37" s="1">
        <f t="shared" si="13"/>
        <v>76.430798892504271</v>
      </c>
      <c r="AL37" s="1">
        <f t="shared" si="16"/>
        <v>7.133302038115275</v>
      </c>
      <c r="AM37" s="1">
        <f t="shared" si="17"/>
        <v>7.133302038115275</v>
      </c>
      <c r="AN37" s="1">
        <f t="shared" si="14"/>
        <v>53.319712469159796</v>
      </c>
      <c r="AO37" s="1">
        <f t="shared" si="15"/>
        <v>53.319712469159796</v>
      </c>
      <c r="AP37" s="1">
        <f t="shared" si="18"/>
        <v>-23.111086423344474</v>
      </c>
      <c r="AQ37" s="1">
        <f t="shared" si="19"/>
        <v>-23.111086423344474</v>
      </c>
    </row>
    <row r="38" spans="7:43" x14ac:dyDescent="0.3">
      <c r="G38" s="1">
        <v>16</v>
      </c>
      <c r="H38" s="1">
        <f t="shared" si="0"/>
        <v>7.8496450984674384</v>
      </c>
      <c r="I38" s="1">
        <f t="shared" si="1"/>
        <v>7.8496450984674384</v>
      </c>
      <c r="J38" s="1">
        <f t="shared" si="2"/>
        <v>-29.62143411069944</v>
      </c>
      <c r="K38" s="1">
        <f t="shared" si="3"/>
        <v>-29.62143411069944</v>
      </c>
      <c r="T38" s="1">
        <v>16</v>
      </c>
      <c r="U38" s="1">
        <f t="shared" si="4"/>
        <v>1.5625</v>
      </c>
      <c r="V38" s="1">
        <f t="shared" si="5"/>
        <v>1.5625</v>
      </c>
      <c r="W38" s="1">
        <f t="shared" si="6"/>
        <v>156.25</v>
      </c>
      <c r="X38" s="1">
        <f t="shared" si="7"/>
        <v>156.25</v>
      </c>
      <c r="AF38" s="1">
        <f t="shared" si="8"/>
        <v>10.943846058730863</v>
      </c>
      <c r="AG38" s="1">
        <f t="shared" si="9"/>
        <v>10.943846058730863</v>
      </c>
      <c r="AH38" s="1">
        <f t="shared" si="10"/>
        <v>1094.3846058730862</v>
      </c>
      <c r="AI38" s="1">
        <f t="shared" si="11"/>
        <v>1094.3846058730862</v>
      </c>
      <c r="AJ38" s="1">
        <f t="shared" si="12"/>
        <v>80.040614775877515</v>
      </c>
      <c r="AK38" s="1">
        <f t="shared" si="13"/>
        <v>80.040614775877515</v>
      </c>
      <c r="AL38" s="1">
        <f t="shared" si="16"/>
        <v>7.3137555431915198</v>
      </c>
      <c r="AM38" s="1">
        <f t="shared" si="17"/>
        <v>7.3137555431915198</v>
      </c>
      <c r="AN38" s="1">
        <f t="shared" si="14"/>
        <v>54.460294867679821</v>
      </c>
      <c r="AO38" s="1">
        <f t="shared" si="15"/>
        <v>54.460294867679821</v>
      </c>
      <c r="AP38" s="1">
        <f t="shared" si="18"/>
        <v>-25.580319908197694</v>
      </c>
      <c r="AQ38" s="1">
        <f t="shared" si="19"/>
        <v>-25.580319908197694</v>
      </c>
    </row>
    <row r="39" spans="7:43" x14ac:dyDescent="0.3">
      <c r="G39" s="1">
        <v>16.5</v>
      </c>
      <c r="H39" s="1">
        <f t="shared" si="0"/>
        <v>7.6117770651805454</v>
      </c>
      <c r="I39" s="1">
        <f t="shared" si="1"/>
        <v>7.6117770651805454</v>
      </c>
      <c r="J39" s="1">
        <f t="shared" si="2"/>
        <v>-32.109603926658792</v>
      </c>
      <c r="K39" s="1">
        <f t="shared" si="3"/>
        <v>-32.109603926658792</v>
      </c>
      <c r="T39" s="1">
        <v>16.5</v>
      </c>
      <c r="U39" s="1">
        <f t="shared" si="4"/>
        <v>1.5151515151515151</v>
      </c>
      <c r="V39" s="1">
        <f t="shared" si="5"/>
        <v>1.5151515151515151</v>
      </c>
      <c r="W39" s="1">
        <f t="shared" si="6"/>
        <v>151.5151515151515</v>
      </c>
      <c r="X39" s="1">
        <f t="shared" si="7"/>
        <v>151.5151515151515</v>
      </c>
      <c r="AF39" s="1">
        <f t="shared" si="8"/>
        <v>11.170671566623387</v>
      </c>
      <c r="AG39" s="1">
        <f t="shared" si="9"/>
        <v>11.170671566623387</v>
      </c>
      <c r="AH39" s="1">
        <f t="shared" si="10"/>
        <v>1117.0671566623387</v>
      </c>
      <c r="AI39" s="1">
        <f t="shared" si="11"/>
        <v>1117.0671566623387</v>
      </c>
      <c r="AJ39" s="1">
        <f t="shared" si="12"/>
        <v>83.72643233971435</v>
      </c>
      <c r="AK39" s="1">
        <f t="shared" si="13"/>
        <v>83.72643233971435</v>
      </c>
      <c r="AL39" s="1">
        <f t="shared" si="16"/>
        <v>7.4952013261117427</v>
      </c>
      <c r="AM39" s="1">
        <f t="shared" si="17"/>
        <v>7.4952013261117427</v>
      </c>
      <c r="AN39" s="1">
        <f t="shared" si="14"/>
        <v>55.589055632135484</v>
      </c>
      <c r="AO39" s="1">
        <f t="shared" si="15"/>
        <v>55.589055632135484</v>
      </c>
      <c r="AP39" s="1">
        <f t="shared" si="18"/>
        <v>-28.137376707578866</v>
      </c>
      <c r="AQ39" s="1">
        <f t="shared" si="19"/>
        <v>-28.137376707578866</v>
      </c>
    </row>
    <row r="40" spans="7:43" x14ac:dyDescent="0.3">
      <c r="G40" s="1">
        <v>17</v>
      </c>
      <c r="H40" s="1">
        <f t="shared" si="0"/>
        <v>7.387901269145825</v>
      </c>
      <c r="I40" s="1">
        <f t="shared" si="1"/>
        <v>7.387901269145825</v>
      </c>
      <c r="J40" s="1">
        <f t="shared" si="2"/>
        <v>-34.597773742618159</v>
      </c>
      <c r="K40" s="1">
        <f t="shared" si="3"/>
        <v>-34.597773742618159</v>
      </c>
      <c r="T40" s="1">
        <v>17</v>
      </c>
      <c r="U40" s="1">
        <f t="shared" si="4"/>
        <v>1.4705882352941178</v>
      </c>
      <c r="V40" s="1">
        <f t="shared" si="5"/>
        <v>1.4705882352941178</v>
      </c>
      <c r="W40" s="1">
        <f t="shared" si="6"/>
        <v>147.05882352941177</v>
      </c>
      <c r="X40" s="1">
        <f t="shared" si="7"/>
        <v>147.05882352941177</v>
      </c>
      <c r="AF40" s="1">
        <f t="shared" si="8"/>
        <v>11.395217035304521</v>
      </c>
      <c r="AG40" s="1">
        <f t="shared" si="9"/>
        <v>11.395217035304521</v>
      </c>
      <c r="AH40" s="1">
        <f t="shared" si="10"/>
        <v>1139.521703530452</v>
      </c>
      <c r="AI40" s="1">
        <f t="shared" si="11"/>
        <v>1139.521703530452</v>
      </c>
      <c r="AJ40" s="1">
        <f t="shared" si="12"/>
        <v>87.487475840070786</v>
      </c>
      <c r="AK40" s="1">
        <f t="shared" si="13"/>
        <v>87.487475840070786</v>
      </c>
      <c r="AL40" s="1">
        <f t="shared" si="16"/>
        <v>7.6775611705348101</v>
      </c>
      <c r="AM40" s="1">
        <f t="shared" si="17"/>
        <v>7.6775611705348101</v>
      </c>
      <c r="AN40" s="1">
        <f t="shared" si="14"/>
        <v>56.706470147101172</v>
      </c>
      <c r="AO40" s="1">
        <f t="shared" si="15"/>
        <v>56.706470147101172</v>
      </c>
      <c r="AP40" s="1">
        <f t="shared" si="18"/>
        <v>-30.781005692969615</v>
      </c>
      <c r="AQ40" s="1">
        <f t="shared" si="19"/>
        <v>-30.781005692969615</v>
      </c>
    </row>
    <row r="41" spans="7:43" x14ac:dyDescent="0.3">
      <c r="G41" s="1">
        <v>17.5</v>
      </c>
      <c r="H41" s="1">
        <f t="shared" si="0"/>
        <v>7.1768183757416564</v>
      </c>
      <c r="I41" s="1">
        <f t="shared" si="1"/>
        <v>7.1768183757416564</v>
      </c>
      <c r="J41" s="1">
        <f t="shared" si="2"/>
        <v>-37.085943558577512</v>
      </c>
      <c r="K41" s="1">
        <f t="shared" si="3"/>
        <v>-37.085943558577512</v>
      </c>
      <c r="T41" s="1">
        <v>17.5</v>
      </c>
      <c r="U41" s="1">
        <f t="shared" si="4"/>
        <v>1.4285714285714286</v>
      </c>
      <c r="V41" s="1">
        <f t="shared" si="5"/>
        <v>1.4285714285714286</v>
      </c>
      <c r="W41" s="1">
        <f t="shared" si="6"/>
        <v>142.85714285714286</v>
      </c>
      <c r="X41" s="1">
        <f t="shared" si="7"/>
        <v>142.85714285714286</v>
      </c>
      <c r="AF41" s="1">
        <f t="shared" si="8"/>
        <v>11.61757146712741</v>
      </c>
      <c r="AG41" s="1">
        <f t="shared" si="9"/>
        <v>11.61757146712741</v>
      </c>
      <c r="AH41" s="1">
        <f t="shared" si="10"/>
        <v>1161.7571467127411</v>
      </c>
      <c r="AI41" s="1">
        <f t="shared" si="11"/>
        <v>1161.7571467127411</v>
      </c>
      <c r="AJ41" s="1">
        <f t="shared" si="12"/>
        <v>91.323000269891892</v>
      </c>
      <c r="AK41" s="1">
        <f t="shared" si="13"/>
        <v>91.323000269891892</v>
      </c>
      <c r="AL41" s="1">
        <f t="shared" si="16"/>
        <v>7.8607650943482978</v>
      </c>
      <c r="AM41" s="1">
        <f t="shared" si="17"/>
        <v>7.8607650943482978</v>
      </c>
      <c r="AN41" s="1">
        <f t="shared" si="14"/>
        <v>57.812981318514183</v>
      </c>
      <c r="AO41" s="1">
        <f t="shared" si="15"/>
        <v>57.812981318514183</v>
      </c>
      <c r="AP41" s="1">
        <f t="shared" si="18"/>
        <v>-33.51001895137771</v>
      </c>
      <c r="AQ41" s="1">
        <f t="shared" si="19"/>
        <v>-33.51001895137771</v>
      </c>
    </row>
    <row r="42" spans="7:43" x14ac:dyDescent="0.3">
      <c r="G42" s="1">
        <v>18</v>
      </c>
      <c r="H42" s="1">
        <f t="shared" si="0"/>
        <v>6.9774623097488346</v>
      </c>
      <c r="I42" s="1">
        <f t="shared" si="1"/>
        <v>6.9774623097488346</v>
      </c>
      <c r="J42" s="1">
        <f t="shared" si="2"/>
        <v>-39.574113374536864</v>
      </c>
      <c r="K42" s="1">
        <f t="shared" si="3"/>
        <v>-39.574113374536864</v>
      </c>
      <c r="T42" s="1">
        <v>18</v>
      </c>
      <c r="U42" s="1">
        <f t="shared" si="4"/>
        <v>1.3888888888888888</v>
      </c>
      <c r="V42" s="1">
        <f t="shared" si="5"/>
        <v>1.3888888888888888</v>
      </c>
      <c r="W42" s="1">
        <f t="shared" si="6"/>
        <v>138.88888888888889</v>
      </c>
      <c r="X42" s="1">
        <f t="shared" si="7"/>
        <v>138.88888888888889</v>
      </c>
      <c r="AF42" s="1">
        <f t="shared" si="8"/>
        <v>11.837817956786262</v>
      </c>
      <c r="AG42" s="1">
        <f t="shared" si="9"/>
        <v>11.837817956786262</v>
      </c>
      <c r="AH42" s="1">
        <f t="shared" si="10"/>
        <v>1183.7817956786262</v>
      </c>
      <c r="AI42" s="1">
        <f t="shared" si="11"/>
        <v>1183.7817956786262</v>
      </c>
      <c r="AJ42" s="1">
        <f t="shared" si="12"/>
        <v>95.232289288861111</v>
      </c>
      <c r="AK42" s="1">
        <f t="shared" si="13"/>
        <v>95.232289288861111</v>
      </c>
      <c r="AL42" s="1">
        <f t="shared" si="16"/>
        <v>8.044750277162974</v>
      </c>
      <c r="AM42" s="1">
        <f t="shared" si="17"/>
        <v>8.044750277162974</v>
      </c>
      <c r="AN42" s="1">
        <f t="shared" si="14"/>
        <v>58.909002653794502</v>
      </c>
      <c r="AO42" s="1">
        <f t="shared" si="15"/>
        <v>58.909002653794502</v>
      </c>
      <c r="AP42" s="1">
        <f t="shared" si="18"/>
        <v>-36.323286635066609</v>
      </c>
      <c r="AQ42" s="1">
        <f t="shared" si="19"/>
        <v>-36.323286635066609</v>
      </c>
    </row>
    <row r="43" spans="7:43" x14ac:dyDescent="0.3">
      <c r="G43" s="1">
        <v>18.5</v>
      </c>
      <c r="H43" s="1">
        <f t="shared" si="0"/>
        <v>6.7888822473231905</v>
      </c>
      <c r="I43" s="1">
        <f t="shared" si="1"/>
        <v>6.7888822473231905</v>
      </c>
      <c r="J43" s="1">
        <f t="shared" si="2"/>
        <v>-42.062283190496231</v>
      </c>
      <c r="K43" s="1">
        <f t="shared" si="3"/>
        <v>-42.062283190496231</v>
      </c>
      <c r="T43" s="1">
        <v>18.5</v>
      </c>
      <c r="U43" s="1">
        <f t="shared" si="4"/>
        <v>1.3513513513513513</v>
      </c>
      <c r="V43" s="1">
        <f t="shared" si="5"/>
        <v>1.3513513513513513</v>
      </c>
      <c r="W43" s="1">
        <f t="shared" si="6"/>
        <v>135.13513513513513</v>
      </c>
      <c r="X43" s="1">
        <f t="shared" si="7"/>
        <v>135.13513513513513</v>
      </c>
      <c r="AF43" s="1">
        <f t="shared" si="8"/>
        <v>12.056034236064132</v>
      </c>
      <c r="AG43" s="1">
        <f t="shared" si="9"/>
        <v>12.056034236064132</v>
      </c>
      <c r="AH43" s="1">
        <f t="shared" si="10"/>
        <v>1205.6034236064131</v>
      </c>
      <c r="AI43" s="1">
        <f t="shared" si="11"/>
        <v>1205.6034236064131</v>
      </c>
      <c r="AJ43" s="1">
        <f t="shared" si="12"/>
        <v>99.214653346874613</v>
      </c>
      <c r="AK43" s="1">
        <f t="shared" si="13"/>
        <v>99.214653346874613</v>
      </c>
      <c r="AL43" s="1">
        <f t="shared" si="16"/>
        <v>8.2294601528325355</v>
      </c>
      <c r="AM43" s="1">
        <f t="shared" si="17"/>
        <v>8.2294601528325355</v>
      </c>
      <c r="AN43" s="1">
        <f t="shared" si="14"/>
        <v>59.994920972694807</v>
      </c>
      <c r="AO43" s="1">
        <f t="shared" si="15"/>
        <v>59.994920972694807</v>
      </c>
      <c r="AP43" s="1">
        <f t="shared" si="18"/>
        <v>-39.219732374179806</v>
      </c>
      <c r="AQ43" s="1">
        <f t="shared" si="19"/>
        <v>-39.219732374179806</v>
      </c>
    </row>
    <row r="44" spans="7:43" x14ac:dyDescent="0.3">
      <c r="G44" s="1">
        <v>19</v>
      </c>
      <c r="H44" s="1">
        <f t="shared" si="0"/>
        <v>6.6102274513410002</v>
      </c>
      <c r="I44" s="1">
        <f t="shared" si="1"/>
        <v>6.6102274513410002</v>
      </c>
      <c r="J44" s="1">
        <f t="shared" si="2"/>
        <v>-44.550453006455584</v>
      </c>
      <c r="K44" s="1">
        <f t="shared" si="3"/>
        <v>-44.550453006455584</v>
      </c>
      <c r="T44" s="1">
        <v>19</v>
      </c>
      <c r="U44" s="1">
        <f t="shared" si="4"/>
        <v>1.3157894736842106</v>
      </c>
      <c r="V44" s="1">
        <f t="shared" si="5"/>
        <v>1.3157894736842106</v>
      </c>
      <c r="W44" s="1">
        <f t="shared" si="6"/>
        <v>131.57894736842107</v>
      </c>
      <c r="X44" s="1">
        <f t="shared" si="7"/>
        <v>131.57894736842107</v>
      </c>
      <c r="AF44" s="1">
        <f t="shared" si="8"/>
        <v>12.272293155031331</v>
      </c>
      <c r="AG44" s="1">
        <f t="shared" si="9"/>
        <v>12.272293155031331</v>
      </c>
      <c r="AH44" s="1">
        <f t="shared" si="10"/>
        <v>1227.2293155031332</v>
      </c>
      <c r="AI44" s="1">
        <f t="shared" si="11"/>
        <v>1227.2293155031332</v>
      </c>
      <c r="AJ44" s="1">
        <f t="shared" si="12"/>
        <v>103.2694279782381</v>
      </c>
      <c r="AK44" s="1">
        <f t="shared" si="13"/>
        <v>103.2694279782381</v>
      </c>
      <c r="AL44" s="1">
        <f t="shared" si="16"/>
        <v>8.4148436379145846</v>
      </c>
      <c r="AM44" s="1">
        <f t="shared" si="17"/>
        <v>8.4148436379145846</v>
      </c>
      <c r="AN44" s="1">
        <f t="shared" si="14"/>
        <v>61.071098801907183</v>
      </c>
      <c r="AO44" s="1">
        <f t="shared" si="15"/>
        <v>61.071098801907183</v>
      </c>
      <c r="AP44" s="1">
        <f t="shared" si="18"/>
        <v>-42.198329176330915</v>
      </c>
      <c r="AQ44" s="1">
        <f t="shared" si="19"/>
        <v>-42.198329176330915</v>
      </c>
    </row>
    <row r="45" spans="7:43" x14ac:dyDescent="0.3">
      <c r="G45" s="1">
        <v>19.5</v>
      </c>
      <c r="H45" s="1">
        <f t="shared" si="0"/>
        <v>6.4407344397681534</v>
      </c>
      <c r="I45" s="1">
        <f t="shared" si="1"/>
        <v>6.4407344397681534</v>
      </c>
      <c r="J45" s="1">
        <f t="shared" si="2"/>
        <v>-47.038622822414936</v>
      </c>
      <c r="K45" s="1">
        <f t="shared" si="3"/>
        <v>-47.038622822414936</v>
      </c>
      <c r="T45" s="1">
        <v>19.5</v>
      </c>
      <c r="U45" s="1">
        <f t="shared" si="4"/>
        <v>1.2820512820512822</v>
      </c>
      <c r="V45" s="1">
        <f t="shared" si="5"/>
        <v>1.2820512820512822</v>
      </c>
      <c r="W45" s="1">
        <f t="shared" si="6"/>
        <v>128.2051282051282</v>
      </c>
      <c r="X45" s="1">
        <f t="shared" si="7"/>
        <v>128.2051282051282</v>
      </c>
      <c r="AF45" s="1">
        <f t="shared" si="8"/>
        <v>12.486663108580357</v>
      </c>
      <c r="AG45" s="1">
        <f t="shared" si="9"/>
        <v>12.486663108580357</v>
      </c>
      <c r="AH45" s="1">
        <f t="shared" si="10"/>
        <v>1248.6663108580358</v>
      </c>
      <c r="AI45" s="1">
        <f t="shared" si="11"/>
        <v>1248.6663108580358</v>
      </c>
      <c r="AJ45" s="1">
        <f t="shared" si="12"/>
        <v>107.39597224692686</v>
      </c>
      <c r="AK45" s="1">
        <f t="shared" si="13"/>
        <v>107.39597224692686</v>
      </c>
      <c r="AL45" s="1">
        <f t="shared" si="16"/>
        <v>8.6008544727316671</v>
      </c>
      <c r="AM45" s="1">
        <f t="shared" si="17"/>
        <v>8.6008544727316671</v>
      </c>
      <c r="AN45" s="1">
        <f t="shared" si="14"/>
        <v>62.13787649764577</v>
      </c>
      <c r="AO45" s="1">
        <f t="shared" si="15"/>
        <v>62.13787649764577</v>
      </c>
      <c r="AP45" s="1">
        <f t="shared" si="18"/>
        <v>-45.25809574928109</v>
      </c>
      <c r="AQ45" s="1">
        <f t="shared" si="19"/>
        <v>-45.25809574928109</v>
      </c>
    </row>
    <row r="46" spans="7:43" x14ac:dyDescent="0.3">
      <c r="G46" s="1">
        <v>20</v>
      </c>
      <c r="H46" s="1">
        <f t="shared" si="0"/>
        <v>6.2797160787739505</v>
      </c>
      <c r="I46" s="1">
        <f t="shared" si="1"/>
        <v>6.2797160787739505</v>
      </c>
      <c r="J46" s="1">
        <f t="shared" si="2"/>
        <v>-49.526792638374303</v>
      </c>
      <c r="K46" s="1">
        <f t="shared" si="3"/>
        <v>-49.526792638374303</v>
      </c>
      <c r="T46" s="1">
        <v>20</v>
      </c>
      <c r="U46" s="1">
        <f t="shared" si="4"/>
        <v>1.25</v>
      </c>
      <c r="V46" s="1">
        <f t="shared" si="5"/>
        <v>1.25</v>
      </c>
      <c r="W46" s="1">
        <f t="shared" si="6"/>
        <v>125</v>
      </c>
      <c r="X46" s="1">
        <f t="shared" si="7"/>
        <v>125</v>
      </c>
      <c r="AF46" s="1">
        <f t="shared" si="8"/>
        <v>12.699208415745598</v>
      </c>
      <c r="AG46" s="1">
        <f t="shared" si="9"/>
        <v>12.699208415745598</v>
      </c>
      <c r="AH46" s="1">
        <f t="shared" si="10"/>
        <v>1269.9208415745597</v>
      </c>
      <c r="AI46" s="1">
        <f t="shared" si="11"/>
        <v>1269.9208415745597</v>
      </c>
      <c r="AJ46" s="1">
        <f t="shared" si="12"/>
        <v>111.59366732596477</v>
      </c>
      <c r="AK46" s="1">
        <f t="shared" si="13"/>
        <v>111.59366732596477</v>
      </c>
      <c r="AL46" s="1">
        <f t="shared" si="16"/>
        <v>8.7874506561842942</v>
      </c>
      <c r="AM46" s="1">
        <f t="shared" si="17"/>
        <v>8.7874506561842942</v>
      </c>
      <c r="AN46" s="1">
        <f t="shared" si="14"/>
        <v>63.195574133270497</v>
      </c>
      <c r="AO46" s="1">
        <f t="shared" si="15"/>
        <v>63.195574133270497</v>
      </c>
      <c r="AP46" s="1">
        <f t="shared" si="18"/>
        <v>-48.398093192694276</v>
      </c>
      <c r="AQ46" s="1">
        <f t="shared" si="19"/>
        <v>-48.398093192694276</v>
      </c>
    </row>
  </sheetData>
  <sheetProtection sheet="1" objects="1" scenarios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zoomScaleNormal="100" workbookViewId="0">
      <selection sqref="A1:A1048576"/>
    </sheetView>
  </sheetViews>
  <sheetFormatPr defaultColWidth="9.1796875" defaultRowHeight="14.5" x14ac:dyDescent="0.35"/>
  <cols>
    <col min="1" max="16384" width="9.1796875" style="6"/>
  </cols>
  <sheetData/>
  <sheetProtection sheet="1" objects="1" scenarios="1" selectLockedCells="1" selectUnlockedCell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J4:Q13"/>
  <sheetViews>
    <sheetView tabSelected="1" zoomScale="65" zoomScaleNormal="65" workbookViewId="0">
      <selection activeCell="Q1" sqref="Q1:Q1048576"/>
    </sheetView>
  </sheetViews>
  <sheetFormatPr defaultColWidth="9.1796875" defaultRowHeight="13" x14ac:dyDescent="0.3"/>
  <cols>
    <col min="1" max="1" width="9.1796875" style="7"/>
    <col min="2" max="2" width="9.1796875" style="7" customWidth="1"/>
    <col min="3" max="8" width="9.1796875" style="7"/>
    <col min="9" max="9" width="0.81640625" style="7" customWidth="1"/>
    <col min="10" max="10" width="13.453125" style="7" customWidth="1"/>
    <col min="11" max="11" width="5.26953125" style="7" customWidth="1"/>
    <col min="12" max="12" width="3.81640625" style="7" customWidth="1"/>
    <col min="13" max="13" width="5.1796875" style="7" customWidth="1"/>
    <col min="14" max="14" width="18.26953125" style="7" customWidth="1"/>
    <col min="15" max="16" width="6.54296875" style="9" customWidth="1"/>
    <col min="17" max="17" width="9.1796875" style="11" hidden="1" customWidth="1"/>
    <col min="18" max="16384" width="9.1796875" style="7"/>
  </cols>
  <sheetData>
    <row r="4" spans="10:17" x14ac:dyDescent="0.3">
      <c r="M4" s="7" t="s">
        <v>64</v>
      </c>
      <c r="O4" s="9" t="s">
        <v>65</v>
      </c>
    </row>
    <row r="5" spans="10:17" ht="14" x14ac:dyDescent="0.3">
      <c r="J5" s="7" t="s">
        <v>56</v>
      </c>
      <c r="L5" s="8" t="s">
        <v>0</v>
      </c>
      <c r="M5" s="7">
        <v>0.5</v>
      </c>
      <c r="O5" s="10">
        <f>Q5/100</f>
        <v>0.5</v>
      </c>
      <c r="P5" s="10"/>
      <c r="Q5" s="12">
        <v>50</v>
      </c>
    </row>
    <row r="6" spans="10:17" x14ac:dyDescent="0.3">
      <c r="J6" s="7" t="s">
        <v>57</v>
      </c>
      <c r="L6" s="7" t="s">
        <v>1</v>
      </c>
      <c r="M6" s="7">
        <v>50</v>
      </c>
      <c r="O6" s="10">
        <f>Q6</f>
        <v>50</v>
      </c>
      <c r="P6" s="10"/>
      <c r="Q6" s="12">
        <v>50</v>
      </c>
    </row>
    <row r="7" spans="10:17" x14ac:dyDescent="0.3">
      <c r="J7" s="7" t="s">
        <v>58</v>
      </c>
      <c r="L7" s="7" t="s">
        <v>2</v>
      </c>
      <c r="M7" s="7">
        <v>100</v>
      </c>
      <c r="O7" s="10">
        <f>Q7</f>
        <v>100</v>
      </c>
      <c r="P7" s="10"/>
      <c r="Q7" s="12">
        <v>100</v>
      </c>
    </row>
    <row r="8" spans="10:17" x14ac:dyDescent="0.3">
      <c r="J8" s="7" t="s">
        <v>59</v>
      </c>
      <c r="L8" s="7" t="s">
        <v>3</v>
      </c>
      <c r="M8" s="7">
        <v>0.5</v>
      </c>
      <c r="O8" s="10">
        <f>Q8/100</f>
        <v>0.5</v>
      </c>
      <c r="P8" s="10"/>
      <c r="Q8" s="12">
        <v>50</v>
      </c>
    </row>
    <row r="9" spans="10:17" x14ac:dyDescent="0.3">
      <c r="J9" s="7" t="s">
        <v>60</v>
      </c>
      <c r="L9" s="7" t="s">
        <v>4</v>
      </c>
      <c r="M9" s="7">
        <v>0.6</v>
      </c>
      <c r="O9" s="10">
        <f>Q9/100</f>
        <v>0.6</v>
      </c>
      <c r="P9" s="10"/>
      <c r="Q9" s="12">
        <v>60</v>
      </c>
    </row>
    <row r="10" spans="10:17" x14ac:dyDescent="0.3">
      <c r="L10" s="7" t="s">
        <v>5</v>
      </c>
      <c r="M10" s="7">
        <v>0.4</v>
      </c>
      <c r="O10" s="10">
        <f>Q10/100</f>
        <v>0.4</v>
      </c>
      <c r="P10" s="10"/>
      <c r="Q10" s="12">
        <v>40</v>
      </c>
    </row>
    <row r="11" spans="10:17" x14ac:dyDescent="0.3">
      <c r="J11" s="7" t="s">
        <v>61</v>
      </c>
      <c r="L11" s="7" t="s">
        <v>6</v>
      </c>
      <c r="M11" s="7">
        <v>2</v>
      </c>
      <c r="O11" s="10">
        <f>Q11/10</f>
        <v>2</v>
      </c>
      <c r="P11" s="10"/>
      <c r="Q11" s="12">
        <v>20</v>
      </c>
    </row>
    <row r="12" spans="10:17" x14ac:dyDescent="0.3">
      <c r="J12" s="7" t="s">
        <v>62</v>
      </c>
      <c r="L12" s="7" t="s">
        <v>7</v>
      </c>
      <c r="M12" s="7">
        <v>5</v>
      </c>
      <c r="O12" s="10">
        <f>Q12/10</f>
        <v>5</v>
      </c>
      <c r="P12" s="10"/>
      <c r="Q12" s="12">
        <v>50</v>
      </c>
    </row>
    <row r="13" spans="10:17" x14ac:dyDescent="0.3">
      <c r="J13" s="7" t="s">
        <v>63</v>
      </c>
      <c r="L13" s="7" t="s">
        <v>8</v>
      </c>
      <c r="M13" s="7">
        <v>100</v>
      </c>
      <c r="O13" s="10">
        <f>Q13</f>
        <v>100</v>
      </c>
      <c r="P13" s="10"/>
      <c r="Q13" s="12">
        <v>100</v>
      </c>
    </row>
  </sheetData>
  <sheetProtection sheet="1" objects="1" scenarios="1" selectLockedCells="1" selectUnlockedCells="1"/>
  <pageMargins left="0.7" right="0.7" top="0.75" bottom="0.75" header="0.3" footer="0.3"/>
  <ignoredErrors>
    <ignoredError sqref="O5:O10 O13" unlocked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3" r:id="rId3" name="Scroll Bar 15">
              <controlPr defaultSize="0" autoPict="0">
                <anchor>
                  <from>
                    <xdr:col>13</xdr:col>
                    <xdr:colOff>203200</xdr:colOff>
                    <xdr:row>4</xdr:row>
                    <xdr:rowOff>0</xdr:rowOff>
                  </from>
                  <to>
                    <xdr:col>14</xdr:col>
                    <xdr:colOff>203200</xdr:colOff>
                    <xdr:row>4</xdr:row>
                    <xdr:rowOff>184150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4" name="Scroll Bar 17">
              <controlPr defaultSize="0" autoPict="0">
                <anchor>
                  <from>
                    <xdr:col>13</xdr:col>
                    <xdr:colOff>203200</xdr:colOff>
                    <xdr:row>4</xdr:row>
                    <xdr:rowOff>171450</xdr:rowOff>
                  </from>
                  <to>
                    <xdr:col>14</xdr:col>
                    <xdr:colOff>203200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5" name="Scroll Bar 18">
              <controlPr defaultSize="0" autoPict="0">
                <anchor>
                  <from>
                    <xdr:col>13</xdr:col>
                    <xdr:colOff>203200</xdr:colOff>
                    <xdr:row>5</xdr:row>
                    <xdr:rowOff>146050</xdr:rowOff>
                  </from>
                  <to>
                    <xdr:col>14</xdr:col>
                    <xdr:colOff>203200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6" name="Scroll Bar 19">
              <controlPr defaultSize="0" autoPict="0">
                <anchor>
                  <from>
                    <xdr:col>13</xdr:col>
                    <xdr:colOff>203200</xdr:colOff>
                    <xdr:row>6</xdr:row>
                    <xdr:rowOff>146050</xdr:rowOff>
                  </from>
                  <to>
                    <xdr:col>14</xdr:col>
                    <xdr:colOff>203200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7" name="Scroll Bar 20">
              <controlPr defaultSize="0" autoPict="0">
                <anchor>
                  <from>
                    <xdr:col>13</xdr:col>
                    <xdr:colOff>203200</xdr:colOff>
                    <xdr:row>7</xdr:row>
                    <xdr:rowOff>146050</xdr:rowOff>
                  </from>
                  <to>
                    <xdr:col>14</xdr:col>
                    <xdr:colOff>203200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8" name="Scroll Bar 21">
              <controlPr defaultSize="0" autoPict="0">
                <anchor>
                  <from>
                    <xdr:col>13</xdr:col>
                    <xdr:colOff>203200</xdr:colOff>
                    <xdr:row>8</xdr:row>
                    <xdr:rowOff>146050</xdr:rowOff>
                  </from>
                  <to>
                    <xdr:col>14</xdr:col>
                    <xdr:colOff>203200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9" name="Scroll Bar 22">
              <controlPr defaultSize="0" autoPict="0">
                <anchor>
                  <from>
                    <xdr:col>13</xdr:col>
                    <xdr:colOff>203200</xdr:colOff>
                    <xdr:row>9</xdr:row>
                    <xdr:rowOff>146050</xdr:rowOff>
                  </from>
                  <to>
                    <xdr:col>14</xdr:col>
                    <xdr:colOff>203200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0" name="Scroll Bar 23">
              <controlPr defaultSize="0" autoPict="0">
                <anchor>
                  <from>
                    <xdr:col>13</xdr:col>
                    <xdr:colOff>203200</xdr:colOff>
                    <xdr:row>10</xdr:row>
                    <xdr:rowOff>152400</xdr:rowOff>
                  </from>
                  <to>
                    <xdr:col>14</xdr:col>
                    <xdr:colOff>203200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1" name="Scroll Bar 24">
              <controlPr defaultSize="0" autoPict="0">
                <anchor>
                  <from>
                    <xdr:col>13</xdr:col>
                    <xdr:colOff>203200</xdr:colOff>
                    <xdr:row>11</xdr:row>
                    <xdr:rowOff>152400</xdr:rowOff>
                  </from>
                  <to>
                    <xdr:col>14</xdr:col>
                    <xdr:colOff>203200</xdr:colOff>
                    <xdr:row>13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33</vt:i4>
      </vt:variant>
    </vt:vector>
  </HeadingPairs>
  <TitlesOfParts>
    <vt:vector size="36" baseType="lpstr">
      <vt:lpstr>Sheet1</vt:lpstr>
      <vt:lpstr>Keterangan</vt:lpstr>
      <vt:lpstr>Diagram</vt:lpstr>
      <vt:lpstr>alpha0</vt:lpstr>
      <vt:lpstr>alpha1</vt:lpstr>
      <vt:lpstr>beta0</vt:lpstr>
      <vt:lpstr>beta1</vt:lpstr>
      <vt:lpstr>capital0</vt:lpstr>
      <vt:lpstr>capital1</vt:lpstr>
      <vt:lpstr>firmno0</vt:lpstr>
      <vt:lpstr>firmno1</vt:lpstr>
      <vt:lpstr>goodz0</vt:lpstr>
      <vt:lpstr>goodz1</vt:lpstr>
      <vt:lpstr>hhno0</vt:lpstr>
      <vt:lpstr>hhno1</vt:lpstr>
      <vt:lpstr>income0</vt:lpstr>
      <vt:lpstr>income1</vt:lpstr>
      <vt:lpstr>price0</vt:lpstr>
      <vt:lpstr>price1</vt:lpstr>
      <vt:lpstr>pricez</vt:lpstr>
      <vt:lpstr>pricez0</vt:lpstr>
      <vt:lpstr>pricez1</vt:lpstr>
      <vt:lpstr>qdd0</vt:lpstr>
      <vt:lpstr>qdemand0</vt:lpstr>
      <vt:lpstr>qdemand1</vt:lpstr>
      <vt:lpstr>Quantity0</vt:lpstr>
      <vt:lpstr>Quantity1</vt:lpstr>
      <vt:lpstr>rent0</vt:lpstr>
      <vt:lpstr>rent1</vt:lpstr>
      <vt:lpstr>theta</vt:lpstr>
      <vt:lpstr>theta0</vt:lpstr>
      <vt:lpstr>theta1</vt:lpstr>
      <vt:lpstr>utility0</vt:lpstr>
      <vt:lpstr>utility1</vt:lpstr>
      <vt:lpstr>wage0</vt:lpstr>
      <vt:lpstr>wage1</vt:lpstr>
    </vt:vector>
  </TitlesOfParts>
  <Company>Universitas Padjadjaran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</dc:creator>
  <cp:lastModifiedBy>Arief</cp:lastModifiedBy>
  <dcterms:created xsi:type="dcterms:W3CDTF">2014-12-11T12:55:25Z</dcterms:created>
  <dcterms:modified xsi:type="dcterms:W3CDTF">2020-03-08T10:11:32Z</dcterms:modified>
</cp:coreProperties>
</file>