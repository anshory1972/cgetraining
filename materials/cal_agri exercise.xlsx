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y person\kang arief\2024\devtech\training\cge_bappenas_files\"/>
    </mc:Choice>
  </mc:AlternateContent>
  <bookViews>
    <workbookView xWindow="1020" yWindow="-105" windowWidth="22125" windowHeight="13170" activeTab="1"/>
  </bookViews>
  <sheets>
    <sheet name="all" sheetId="1" r:id="rId1"/>
    <sheet name="tser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Z15" i="3" l="1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I11" i="1"/>
  <c r="G11" i="1"/>
  <c r="I10" i="1"/>
  <c r="G10" i="1"/>
  <c r="E10" i="1"/>
  <c r="F11" i="1" s="1"/>
  <c r="C23" i="3" l="1"/>
  <c r="D23" i="3"/>
  <c r="E23" i="3" s="1"/>
  <c r="X17" i="3"/>
  <c r="E17" i="3"/>
  <c r="I17" i="3"/>
  <c r="M17" i="3"/>
  <c r="Q17" i="3"/>
  <c r="U17" i="3"/>
  <c r="Y17" i="3"/>
  <c r="C17" i="3"/>
  <c r="G17" i="3"/>
  <c r="K17" i="3"/>
  <c r="O17" i="3"/>
  <c r="S17" i="3"/>
  <c r="W17" i="3"/>
  <c r="D17" i="3"/>
  <c r="H17" i="3"/>
  <c r="L17" i="3"/>
  <c r="P17" i="3"/>
  <c r="T17" i="3"/>
  <c r="F17" i="3"/>
  <c r="J17" i="3"/>
  <c r="N17" i="3"/>
  <c r="R17" i="3"/>
  <c r="V17" i="3"/>
  <c r="Z17" i="3"/>
  <c r="H11" i="1"/>
  <c r="J11" i="1"/>
</calcChain>
</file>

<file path=xl/sharedStrings.xml><?xml version="1.0" encoding="utf-8"?>
<sst xmlns="http://schemas.openxmlformats.org/spreadsheetml/2006/main" count="93" uniqueCount="63">
  <si>
    <t>MainMacro</t>
  </si>
  <si>
    <t>1 Y2017</t>
  </si>
  <si>
    <t>2 Y2018</t>
  </si>
  <si>
    <t>3 Y2019</t>
  </si>
  <si>
    <t>4 Y2020</t>
  </si>
  <si>
    <t>5 Y2021</t>
  </si>
  <si>
    <t>6 Y2022</t>
  </si>
  <si>
    <t>7 Y2023</t>
  </si>
  <si>
    <t>8 Y2024</t>
  </si>
  <si>
    <t>9 Y2025</t>
  </si>
  <si>
    <t>10 Y2026</t>
  </si>
  <si>
    <t>11 Y2027</t>
  </si>
  <si>
    <t>12 Y2028</t>
  </si>
  <si>
    <t>13 Y2029</t>
  </si>
  <si>
    <t>14 Y2030</t>
  </si>
  <si>
    <t>15 Y2031</t>
  </si>
  <si>
    <t>16 Y2032</t>
  </si>
  <si>
    <t>17 Y2033</t>
  </si>
  <si>
    <t>18 Y2034</t>
  </si>
  <si>
    <t>19 Y2035</t>
  </si>
  <si>
    <t>20 Y2036</t>
  </si>
  <si>
    <t>21 Y2037</t>
  </si>
  <si>
    <t>22 Y2038</t>
  </si>
  <si>
    <t>23 Y2039</t>
  </si>
  <si>
    <t>24 Y2040</t>
  </si>
  <si>
    <t>SIM0</t>
  </si>
  <si>
    <t>SIM8</t>
  </si>
  <si>
    <t>SIM</t>
  </si>
  <si>
    <t>Sektor</t>
  </si>
  <si>
    <t>Daerah</t>
  </si>
  <si>
    <t>2025-'30</t>
  </si>
  <si>
    <t>delta</t>
  </si>
  <si>
    <t>2025-'35</t>
  </si>
  <si>
    <t>2025-'40</t>
  </si>
  <si>
    <t>baseline</t>
  </si>
  <si>
    <t>SIM6+7</t>
  </si>
  <si>
    <t>NatMacro</t>
  </si>
  <si>
    <t>7 RealGDP(D)</t>
  </si>
  <si>
    <t>MainMacro[RealGDP*](P)</t>
  </si>
  <si>
    <t>SIM_8</t>
  </si>
  <si>
    <t>1 NorthSum</t>
  </si>
  <si>
    <t>2 SouthSum</t>
  </si>
  <si>
    <t>3 Java</t>
  </si>
  <si>
    <t>4 Kalimantan</t>
  </si>
  <si>
    <t>5 NorthSula</t>
  </si>
  <si>
    <t>6 SouthSula</t>
  </si>
  <si>
    <t>7 EasternIndo</t>
  </si>
  <si>
    <t>8 National</t>
  </si>
  <si>
    <t>MainMacro[RealGDP*](B)</t>
  </si>
  <si>
    <t>SIM_0</t>
  </si>
  <si>
    <t>7 RealGDP(B)</t>
  </si>
  <si>
    <t>7 RealGDP(P)</t>
  </si>
  <si>
    <t>7 RealGDP(b)</t>
  </si>
  <si>
    <t>7 RealGDP(p)</t>
  </si>
  <si>
    <t>7 RealGDP(d)</t>
  </si>
  <si>
    <t>yoy</t>
  </si>
  <si>
    <t>cum</t>
  </si>
  <si>
    <t xml:space="preserve">jangka </t>
  </si>
  <si>
    <t>menengah</t>
  </si>
  <si>
    <t>panjang</t>
  </si>
  <si>
    <t>policy</t>
  </si>
  <si>
    <t>pendek 2025-30</t>
  </si>
  <si>
    <t>growth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</si>
</sst>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1" fillId="0" borderId="0" xfId="0" applyFont="1" applyFill="1" applyBorder="1"/>
    <xf numFmtId="2" fontId="1" fillId="0" borderId="0" xfId="0" applyNumberFormat="1" applyFont="1" applyFill="1" applyBorder="1"/>
    <xf numFmtId="0" fontId="1" fillId="0" borderId="0" xfId="0" quotePrefix="1" applyFont="1" applyFill="1" applyBorder="1"/>
    <xf numFmtId="0" fontId="1" fillId="0" borderId="0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tseries!$B$11</c:f>
              <c:strCache>
                <c:ptCount val="1"/>
                <c:pt idx="0">
                  <c:v>7 RealGDP(P)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tseries!$C$9:$Z$9</c:f>
              <c:numCache>
                <c:formatCode>General</c:formatCod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numCache>
            </c:numRef>
          </c:cat>
          <c:val>
            <c:numRef>
              <c:f>tseries!$C$15:$Z$15</c:f>
              <c:numCache>
                <c:formatCode>0.00</c:formatCode>
                <c:ptCount val="24"/>
                <c:pt idx="0">
                  <c:v>103.860005</c:v>
                </c:pt>
                <c:pt idx="1">
                  <c:v>107.868968</c:v>
                </c:pt>
                <c:pt idx="2">
                  <c:v>112.032718</c:v>
                </c:pt>
                <c:pt idx="3">
                  <c:v>116.35723899999999</c:v>
                </c:pt>
                <c:pt idx="4">
                  <c:v>120.848726</c:v>
                </c:pt>
                <c:pt idx="5">
                  <c:v>125.513605</c:v>
                </c:pt>
                <c:pt idx="6">
                  <c:v>130.358566</c:v>
                </c:pt>
                <c:pt idx="7">
                  <c:v>137.006969</c:v>
                </c:pt>
                <c:pt idx="8">
                  <c:v>144.26765799999998</c:v>
                </c:pt>
                <c:pt idx="9">
                  <c:v>151.886505</c:v>
                </c:pt>
                <c:pt idx="10">
                  <c:v>159.92070799999999</c:v>
                </c:pt>
                <c:pt idx="11">
                  <c:v>168.41414600000002</c:v>
                </c:pt>
                <c:pt idx="12">
                  <c:v>177.417023</c:v>
                </c:pt>
                <c:pt idx="13">
                  <c:v>186.98762499999998</c:v>
                </c:pt>
                <c:pt idx="14">
                  <c:v>197.16378</c:v>
                </c:pt>
                <c:pt idx="15">
                  <c:v>207.94258100000002</c:v>
                </c:pt>
                <c:pt idx="16">
                  <c:v>219.33270299999998</c:v>
                </c:pt>
                <c:pt idx="17">
                  <c:v>231.39257799999999</c:v>
                </c:pt>
                <c:pt idx="18">
                  <c:v>244.184235</c:v>
                </c:pt>
                <c:pt idx="19">
                  <c:v>257.74922200000003</c:v>
                </c:pt>
                <c:pt idx="20">
                  <c:v>272.12359600000002</c:v>
                </c:pt>
                <c:pt idx="21">
                  <c:v>287.366196</c:v>
                </c:pt>
                <c:pt idx="22">
                  <c:v>303.578644</c:v>
                </c:pt>
                <c:pt idx="23">
                  <c:v>320.89492799999999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77B-498F-B7A2-D78F2C4D0EB6}"/>
            </c:ext>
          </c:extLst>
        </c:ser>
        <c:ser>
          <c:idx val="1"/>
          <c:order val="1"/>
          <c:tx>
            <c:strRef>
              <c:f>tseries!$B$10</c:f>
              <c:strCache>
                <c:ptCount val="1"/>
                <c:pt idx="0">
                  <c:v>7 RealGDP(B)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tseries!$C$9:$Z$9</c:f>
              <c:numCache>
                <c:formatCode>General</c:formatCod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numCache>
            </c:numRef>
          </c:cat>
          <c:val>
            <c:numRef>
              <c:f>tseries!$C$14:$Z$14</c:f>
              <c:numCache>
                <c:formatCode>0.00</c:formatCode>
                <c:ptCount val="24"/>
                <c:pt idx="0">
                  <c:v>103.860005</c:v>
                </c:pt>
                <c:pt idx="1">
                  <c:v>107.868968</c:v>
                </c:pt>
                <c:pt idx="2">
                  <c:v>112.032718</c:v>
                </c:pt>
                <c:pt idx="3">
                  <c:v>116.35723899999999</c:v>
                </c:pt>
                <c:pt idx="4">
                  <c:v>120.848726</c:v>
                </c:pt>
                <c:pt idx="5">
                  <c:v>125.513605</c:v>
                </c:pt>
                <c:pt idx="6">
                  <c:v>130.358566</c:v>
                </c:pt>
                <c:pt idx="7">
                  <c:v>137.006969</c:v>
                </c:pt>
                <c:pt idx="8">
                  <c:v>143.99435</c:v>
                </c:pt>
                <c:pt idx="9">
                  <c:v>151.33825300000001</c:v>
                </c:pt>
                <c:pt idx="10">
                  <c:v>159.05666400000001</c:v>
                </c:pt>
                <c:pt idx="11">
                  <c:v>167.16866299999998</c:v>
                </c:pt>
                <c:pt idx="12">
                  <c:v>175.694344</c:v>
                </c:pt>
                <c:pt idx="13">
                  <c:v>184.654808</c:v>
                </c:pt>
                <c:pt idx="14">
                  <c:v>194.07223500000001</c:v>
                </c:pt>
                <c:pt idx="15">
                  <c:v>203.96996300000001</c:v>
                </c:pt>
                <c:pt idx="16">
                  <c:v>214.372536</c:v>
                </c:pt>
                <c:pt idx="17">
                  <c:v>225.305565</c:v>
                </c:pt>
                <c:pt idx="18">
                  <c:v>236.796143</c:v>
                </c:pt>
                <c:pt idx="19">
                  <c:v>248.872726</c:v>
                </c:pt>
                <c:pt idx="20">
                  <c:v>261.565201</c:v>
                </c:pt>
                <c:pt idx="21">
                  <c:v>274.90498400000001</c:v>
                </c:pt>
                <c:pt idx="22">
                  <c:v>288.92511000000002</c:v>
                </c:pt>
                <c:pt idx="23">
                  <c:v>303.66026299999999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77B-498F-B7A2-D78F2C4D0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95072"/>
        <c:axId val="269994512"/>
      </c:lineChart>
      <c:lineChart>
        <c:grouping val="standard"/>
        <c:varyColors val="0"/>
        <c:ser>
          <c:idx val="2"/>
          <c:order val="2"/>
          <c:tx>
            <c:strRef>
              <c:f>tseries!$B$12</c:f>
              <c:strCache>
                <c:ptCount val="1"/>
                <c:pt idx="0">
                  <c:v>7 RealGDP(D)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tseries!$C$9:$Z$9</c:f>
              <c:numCache>
                <c:formatCode>General</c:formatCod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numCache>
            </c:numRef>
          </c:cat>
          <c:val>
            <c:numRef>
              <c:f>tseries!$C$12:$Z$12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0.189805</c:v>
                </c:pt>
                <c:pt idx="9">
                  <c:v>0.36226900000000001</c:v>
                </c:pt>
                <c:pt idx="10">
                  <c:v>0.54322999999999999</c:v>
                </c:pt>
                <c:pt idx="11">
                  <c:v>0.74504599999999999</c:v>
                </c:pt>
                <c:pt idx="12">
                  <c:v>0.98049799999999998</c:v>
                </c:pt>
                <c:pt idx="13">
                  <c:v>1.263339</c:v>
                </c:pt>
                <c:pt idx="14">
                  <c:v>1.5929869999999999</c:v>
                </c:pt>
                <c:pt idx="15">
                  <c:v>1.947649</c:v>
                </c:pt>
                <c:pt idx="16">
                  <c:v>2.3138070000000002</c:v>
                </c:pt>
                <c:pt idx="17">
                  <c:v>2.70167</c:v>
                </c:pt>
                <c:pt idx="18">
                  <c:v>3.1200220000000001</c:v>
                </c:pt>
                <c:pt idx="19">
                  <c:v>3.566681</c:v>
                </c:pt>
                <c:pt idx="20">
                  <c:v>4.0366210000000002</c:v>
                </c:pt>
                <c:pt idx="21">
                  <c:v>4.5329170000000003</c:v>
                </c:pt>
                <c:pt idx="22">
                  <c:v>5.0717410000000003</c:v>
                </c:pt>
                <c:pt idx="23">
                  <c:v>5.6756399999999996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77B-498F-B7A2-D78F2C4D0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3472"/>
        <c:axId val="270002912"/>
      </c:lineChart>
      <c:catAx>
        <c:axId val="2699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994512"/>
        <c:crosses val="autoZero"/>
        <c:auto val="1"/>
        <c:lblAlgn val="ctr"/>
        <c:lblOffset val="100"/>
        <c:noMultiLvlLbl val="0"/>
      </c:catAx>
      <c:valAx>
        <c:axId val="2699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995072"/>
        <c:crosses val="autoZero"/>
        <c:crossBetween val="between"/>
      </c:valAx>
      <c:valAx>
        <c:axId val="270002912"/>
        <c:scaling>
          <c:orientation val="minMax"/>
          <c:max val="2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70003472"/>
        <c:crosses val="max"/>
        <c:crossBetween val="between"/>
      </c:valAx>
      <c:catAx>
        <c:axId val="270003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00029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165848</xdr:colOff>
      <xdr:row>19</xdr:row>
      <xdr:rowOff>4802</xdr:rowOff>
    </xdr:from>
    <xdr:to>
      <xdr:col>27</xdr:col>
      <xdr:colOff>258697</xdr:colOff>
      <xdr:row>42</xdr:row>
      <xdr:rowOff>42902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8A2F445-3F64-4D58-9255-DE96E8D0C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32"/>
  <sheetViews>
    <sheetView zoomScale="70" zoomScaleNormal="70" workbookViewId="0">
      <selection activeCell="F11" sqref="F11"/>
    </sheetView>
  </sheetViews>
  <sheetFormatPr defaultRowHeight="15" x14ac:dyDescent="0.25"/>
  <cols>
    <col min="2" max="2" width="19.7109375" bestFit="1" customWidth="1"/>
    <col min="3" max="6" width="20.7109375" customWidth="1"/>
    <col min="7" max="10" width="11.5703125" bestFit="1" customWidth="1"/>
    <col min="11" max="11" width="10.140625" bestFit="1" customWidth="1"/>
    <col min="12" max="12" width="10" bestFit="1" customWidth="1"/>
    <col min="13" max="15" width="10.140625" bestFit="1" customWidth="1"/>
    <col min="16" max="16" width="10" bestFit="1" customWidth="1"/>
    <col min="17" max="17" width="10.5703125" bestFit="1" customWidth="1"/>
    <col min="18" max="18" width="9.28515625" bestFit="1" customWidth="1"/>
    <col min="21" max="21" width="14.85546875" bestFit="1" customWidth="1"/>
  </cols>
  <sheetData>
    <row r="1" spans="2:2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2:27" x14ac:dyDescent="0.25">
      <c r="B2">
        <v>1</v>
      </c>
      <c r="C2" t="s">
        <v>25</v>
      </c>
      <c r="D2">
        <v>3.86</v>
      </c>
      <c r="E2">
        <v>7.868995</v>
      </c>
      <c r="F2">
        <v>12.032738</v>
      </c>
      <c r="G2">
        <v>16.357201</v>
      </c>
      <c r="H2">
        <v>20.848589</v>
      </c>
      <c r="I2">
        <v>25.513344</v>
      </c>
      <c r="J2">
        <v>30.358158</v>
      </c>
      <c r="K2">
        <v>37.006424000000003</v>
      </c>
      <c r="L2">
        <v>43.993752000000001</v>
      </c>
      <c r="M2">
        <v>51.337432999999997</v>
      </c>
      <c r="N2">
        <v>59.055641000000001</v>
      </c>
      <c r="O2">
        <v>67.167479999999998</v>
      </c>
      <c r="P2">
        <v>75.693023999999994</v>
      </c>
      <c r="Q2">
        <v>84.653366000000005</v>
      </c>
      <c r="R2">
        <v>94.070685999999995</v>
      </c>
      <c r="S2">
        <v>103.96829200000001</v>
      </c>
      <c r="T2">
        <v>114.37067399999999</v>
      </c>
      <c r="U2">
        <v>125.303574</v>
      </c>
      <c r="V2">
        <v>136.79405199999999</v>
      </c>
      <c r="W2">
        <v>148.870544</v>
      </c>
      <c r="X2">
        <v>161.56294299999999</v>
      </c>
      <c r="Y2">
        <v>174.902649</v>
      </c>
      <c r="Z2">
        <v>188.922684</v>
      </c>
      <c r="AA2">
        <v>203.65774500000001</v>
      </c>
    </row>
    <row r="3" spans="2:27" x14ac:dyDescent="0.25">
      <c r="B3">
        <v>9</v>
      </c>
      <c r="C3" t="s">
        <v>26</v>
      </c>
      <c r="D3">
        <v>3.8600050000000001</v>
      </c>
      <c r="E3">
        <v>7.8689679999999997</v>
      </c>
      <c r="F3">
        <v>12.032717999999999</v>
      </c>
      <c r="G3">
        <v>16.357239</v>
      </c>
      <c r="H3">
        <v>20.848725999999999</v>
      </c>
      <c r="I3">
        <v>25.513604999999998</v>
      </c>
      <c r="J3">
        <v>30.358566</v>
      </c>
      <c r="K3">
        <v>37.006968999999998</v>
      </c>
      <c r="L3">
        <v>44.267657999999997</v>
      </c>
      <c r="M3">
        <v>51.886505</v>
      </c>
      <c r="N3">
        <v>59.920707999999998</v>
      </c>
      <c r="O3">
        <v>68.414146000000002</v>
      </c>
      <c r="P3">
        <v>77.417023</v>
      </c>
      <c r="Q3">
        <v>86.987624999999994</v>
      </c>
      <c r="R3">
        <v>97.163780000000003</v>
      </c>
      <c r="S3">
        <v>107.942581</v>
      </c>
      <c r="T3">
        <v>119.332703</v>
      </c>
      <c r="U3">
        <v>131.39257799999999</v>
      </c>
      <c r="V3">
        <v>144.184235</v>
      </c>
      <c r="W3">
        <v>157.749222</v>
      </c>
      <c r="X3">
        <v>172.12359599999999</v>
      </c>
      <c r="Y3">
        <v>187.366196</v>
      </c>
      <c r="Z3">
        <v>203.578644</v>
      </c>
      <c r="AA3">
        <v>220.89492799999999</v>
      </c>
    </row>
    <row r="5" spans="2:27" x14ac:dyDescent="0.25">
      <c r="D5">
        <v>2017</v>
      </c>
      <c r="E5" s="1">
        <v>2018</v>
      </c>
      <c r="F5" s="1">
        <v>2019</v>
      </c>
      <c r="G5" s="1">
        <v>2020</v>
      </c>
      <c r="H5" s="1">
        <v>2021</v>
      </c>
      <c r="I5" s="1">
        <v>2022</v>
      </c>
      <c r="J5" s="1">
        <v>2023</v>
      </c>
      <c r="K5" s="1">
        <v>2024</v>
      </c>
      <c r="L5" s="1">
        <v>2025</v>
      </c>
      <c r="M5">
        <v>2026</v>
      </c>
      <c r="N5">
        <v>2027</v>
      </c>
      <c r="O5">
        <v>2028</v>
      </c>
      <c r="P5">
        <v>2029</v>
      </c>
      <c r="Q5">
        <v>2030</v>
      </c>
      <c r="R5">
        <v>2031</v>
      </c>
      <c r="S5">
        <v>2032</v>
      </c>
      <c r="T5">
        <v>2033</v>
      </c>
      <c r="U5">
        <v>2034</v>
      </c>
      <c r="V5">
        <v>2035</v>
      </c>
      <c r="W5">
        <v>2036</v>
      </c>
      <c r="X5">
        <v>2037</v>
      </c>
      <c r="Y5">
        <v>2038</v>
      </c>
      <c r="Z5">
        <v>2039</v>
      </c>
      <c r="AA5">
        <v>2040</v>
      </c>
    </row>
    <row r="6" spans="2:27" x14ac:dyDescent="0.25">
      <c r="B6">
        <v>1</v>
      </c>
      <c r="C6" t="s">
        <v>25</v>
      </c>
      <c r="D6">
        <v>103.86</v>
      </c>
      <c r="E6" s="1">
        <v>107.868995</v>
      </c>
      <c r="F6" s="1">
        <v>112.03273799999999</v>
      </c>
      <c r="G6" s="1">
        <v>116.357201</v>
      </c>
      <c r="H6" s="1">
        <v>120.848589</v>
      </c>
      <c r="I6" s="1">
        <v>125.513344</v>
      </c>
      <c r="J6" s="1">
        <v>130.358158</v>
      </c>
      <c r="K6" s="1">
        <v>137.00642400000001</v>
      </c>
      <c r="L6" s="1">
        <v>143.993752</v>
      </c>
      <c r="M6">
        <v>151.337433</v>
      </c>
      <c r="N6">
        <v>159.05564100000001</v>
      </c>
      <c r="O6">
        <v>167.16748000000001</v>
      </c>
      <c r="P6">
        <v>175.69302399999998</v>
      </c>
      <c r="Q6">
        <v>184.65336600000001</v>
      </c>
      <c r="R6">
        <v>194.07068599999999</v>
      </c>
      <c r="S6">
        <v>203.96829200000002</v>
      </c>
      <c r="T6">
        <v>214.37067400000001</v>
      </c>
      <c r="U6">
        <v>225.303574</v>
      </c>
      <c r="V6">
        <v>236.79405199999999</v>
      </c>
      <c r="W6">
        <v>248.870544</v>
      </c>
      <c r="X6">
        <v>261.56294300000002</v>
      </c>
      <c r="Y6">
        <v>274.902649</v>
      </c>
      <c r="Z6">
        <v>288.922684</v>
      </c>
      <c r="AA6">
        <v>303.65774499999998</v>
      </c>
    </row>
    <row r="7" spans="2:27" x14ac:dyDescent="0.25">
      <c r="B7">
        <v>9</v>
      </c>
      <c r="C7" t="s">
        <v>26</v>
      </c>
      <c r="D7">
        <v>103.860005</v>
      </c>
      <c r="E7" s="1">
        <v>107.868968</v>
      </c>
      <c r="F7" s="1">
        <v>112.032718</v>
      </c>
      <c r="G7" s="1">
        <v>116.35723899999999</v>
      </c>
      <c r="H7" s="1">
        <v>120.848726</v>
      </c>
      <c r="I7" s="1">
        <v>125.513605</v>
      </c>
      <c r="J7" s="1">
        <v>130.358566</v>
      </c>
      <c r="K7" s="1">
        <v>137.006969</v>
      </c>
      <c r="L7" s="1">
        <v>144.26765799999998</v>
      </c>
      <c r="M7">
        <v>151.886505</v>
      </c>
      <c r="N7">
        <v>159.92070799999999</v>
      </c>
      <c r="O7">
        <v>168.41414600000002</v>
      </c>
      <c r="P7">
        <v>177.417023</v>
      </c>
      <c r="Q7">
        <v>186.98762499999998</v>
      </c>
      <c r="R7">
        <v>197.16378</v>
      </c>
      <c r="S7">
        <v>207.94258100000002</v>
      </c>
      <c r="T7">
        <v>219.33270299999998</v>
      </c>
      <c r="U7">
        <v>231.39257799999999</v>
      </c>
      <c r="V7">
        <v>244.184235</v>
      </c>
      <c r="W7">
        <v>257.74922200000003</v>
      </c>
      <c r="X7">
        <v>272.12359600000002</v>
      </c>
      <c r="Y7">
        <v>287.366196</v>
      </c>
      <c r="Z7">
        <v>303.578644</v>
      </c>
      <c r="AA7">
        <v>320.89492799999999</v>
      </c>
    </row>
    <row r="8" spans="2:27" ht="15.75" thickBot="1" x14ac:dyDescent="0.3"/>
    <row r="9" spans="2:27" x14ac:dyDescent="0.25">
      <c r="B9" s="2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31</v>
      </c>
      <c r="I9" s="3" t="s">
        <v>33</v>
      </c>
      <c r="J9" s="4" t="s">
        <v>31</v>
      </c>
    </row>
    <row r="10" spans="2:27" x14ac:dyDescent="0.25">
      <c r="B10" s="5" t="s">
        <v>25</v>
      </c>
      <c r="C10" t="s">
        <v>34</v>
      </c>
      <c r="E10" s="10">
        <f>100*(((Q6/L6)^(1/5))-1)</f>
        <v>5.100000020906803</v>
      </c>
      <c r="F10" s="10">
        <v>0</v>
      </c>
      <c r="G10" s="10">
        <f>100*(((V6/L6)^(1/10))-1)</f>
        <v>5.0999995350083038</v>
      </c>
      <c r="H10" s="10">
        <v>0</v>
      </c>
      <c r="I10" s="10">
        <f>100*(((AA6/L6)^(1/15))-1)</f>
        <v>5.0999995809301479</v>
      </c>
      <c r="J10" s="11">
        <v>0</v>
      </c>
    </row>
    <row r="11" spans="2:27" ht="15.75" thickBot="1" x14ac:dyDescent="0.3">
      <c r="B11" s="7" t="s">
        <v>26</v>
      </c>
      <c r="C11" s="8" t="s">
        <v>35</v>
      </c>
      <c r="D11" s="8"/>
      <c r="E11" s="12">
        <f>100*(((Q7/L7)^(1/5))-1)</f>
        <v>5.3243473753456394</v>
      </c>
      <c r="F11" s="12">
        <f>E11-E10</f>
        <v>0.22434735443883635</v>
      </c>
      <c r="G11" s="12">
        <f>100*(((V7/L7)^(1/10))-1)</f>
        <v>5.4034591823844957</v>
      </c>
      <c r="H11" s="12">
        <f>G11-G10</f>
        <v>0.30345964737619191</v>
      </c>
      <c r="I11" s="12">
        <f>100*(((AA7/L7)^(1/15))-1)</f>
        <v>5.4742043821144781</v>
      </c>
      <c r="J11" s="13">
        <f>I11-I10</f>
        <v>0.37420480118433019</v>
      </c>
    </row>
    <row r="13" spans="2:27" ht="15.75" thickBot="1" x14ac:dyDescent="0.3"/>
    <row r="14" spans="2:27" x14ac:dyDescent="0.25">
      <c r="B14" s="2"/>
      <c r="C14" s="3" t="s">
        <v>48</v>
      </c>
      <c r="D14" s="3">
        <v>2017</v>
      </c>
      <c r="E14" s="3">
        <v>2018</v>
      </c>
      <c r="F14" s="3">
        <v>2019</v>
      </c>
      <c r="G14" s="3">
        <v>2020</v>
      </c>
      <c r="H14" s="3">
        <v>2021</v>
      </c>
      <c r="I14" s="3">
        <v>2022</v>
      </c>
      <c r="J14" s="3">
        <v>2023</v>
      </c>
      <c r="K14" s="3">
        <v>2024</v>
      </c>
      <c r="L14" s="3">
        <v>2025</v>
      </c>
      <c r="M14" s="3">
        <v>2026</v>
      </c>
      <c r="N14" s="3">
        <v>2027</v>
      </c>
      <c r="O14" s="3">
        <v>2028</v>
      </c>
      <c r="P14" s="3">
        <v>2029</v>
      </c>
      <c r="Q14" s="3">
        <v>2030</v>
      </c>
      <c r="R14" s="3">
        <v>2031</v>
      </c>
      <c r="S14" s="3">
        <v>2032</v>
      </c>
      <c r="T14" s="3">
        <v>2033</v>
      </c>
      <c r="U14" s="3">
        <v>2034</v>
      </c>
      <c r="V14" s="3">
        <v>2035</v>
      </c>
      <c r="W14" s="3">
        <v>2036</v>
      </c>
      <c r="X14" s="3">
        <v>2037</v>
      </c>
      <c r="Y14" s="3">
        <v>2038</v>
      </c>
      <c r="Z14" s="3">
        <v>2039</v>
      </c>
      <c r="AA14" s="4">
        <v>2040</v>
      </c>
    </row>
    <row r="15" spans="2:27" x14ac:dyDescent="0.25">
      <c r="B15" s="5" t="s">
        <v>49</v>
      </c>
      <c r="C15" t="s">
        <v>40</v>
      </c>
      <c r="D15">
        <v>3.916194</v>
      </c>
      <c r="E15">
        <v>7.938358</v>
      </c>
      <c r="F15">
        <v>12.08215</v>
      </c>
      <c r="G15">
        <v>16.350110999999998</v>
      </c>
      <c r="H15">
        <v>20.737107999999999</v>
      </c>
      <c r="I15">
        <v>25.238707999999999</v>
      </c>
      <c r="J15">
        <v>29.85491</v>
      </c>
      <c r="K15">
        <v>36.418776999999999</v>
      </c>
      <c r="L15">
        <v>43.192078000000002</v>
      </c>
      <c r="M15">
        <v>50.299075999999999</v>
      </c>
      <c r="N15">
        <v>57.781264999999998</v>
      </c>
      <c r="O15">
        <v>65.666306000000006</v>
      </c>
      <c r="P15">
        <v>74.008269999999996</v>
      </c>
      <c r="Q15">
        <v>82.867217999999994</v>
      </c>
      <c r="R15">
        <v>92.266471999999993</v>
      </c>
      <c r="S15">
        <v>102.19570899999999</v>
      </c>
      <c r="T15">
        <v>112.651436</v>
      </c>
      <c r="U15">
        <v>123.644791</v>
      </c>
      <c r="V15">
        <v>135.210037</v>
      </c>
      <c r="W15">
        <v>147.375992</v>
      </c>
      <c r="X15">
        <v>160.14785800000001</v>
      </c>
      <c r="Y15">
        <v>173.53144800000001</v>
      </c>
      <c r="Z15">
        <v>187.56483499999999</v>
      </c>
      <c r="AA15" s="6">
        <v>202.31448399999999</v>
      </c>
    </row>
    <row r="16" spans="2:27" x14ac:dyDescent="0.25">
      <c r="B16" s="5" t="s">
        <v>49</v>
      </c>
      <c r="C16" t="s">
        <v>41</v>
      </c>
      <c r="D16">
        <v>3.6128939999999998</v>
      </c>
      <c r="E16">
        <v>7.2577259999999999</v>
      </c>
      <c r="F16">
        <v>10.992317999999999</v>
      </c>
      <c r="G16">
        <v>14.84436</v>
      </c>
      <c r="H16">
        <v>18.822512</v>
      </c>
      <c r="I16">
        <v>22.924799</v>
      </c>
      <c r="J16">
        <v>27.143174999999999</v>
      </c>
      <c r="K16">
        <v>33.405414999999998</v>
      </c>
      <c r="L16">
        <v>39.838096999999998</v>
      </c>
      <c r="M16">
        <v>46.574790999999998</v>
      </c>
      <c r="N16">
        <v>53.647339000000002</v>
      </c>
      <c r="O16">
        <v>61.064968</v>
      </c>
      <c r="P16">
        <v>68.879210999999998</v>
      </c>
      <c r="Q16">
        <v>77.182663000000005</v>
      </c>
      <c r="R16">
        <v>86.070106999999993</v>
      </c>
      <c r="S16">
        <v>95.597403999999997</v>
      </c>
      <c r="T16">
        <v>105.78774300000001</v>
      </c>
      <c r="U16">
        <v>116.652962</v>
      </c>
      <c r="V16">
        <v>128.22242700000001</v>
      </c>
      <c r="W16">
        <v>140.54501300000001</v>
      </c>
      <c r="X16">
        <v>153.66658000000001</v>
      </c>
      <c r="Y16">
        <v>167.61991900000001</v>
      </c>
      <c r="Z16">
        <v>182.43338</v>
      </c>
      <c r="AA16" s="6">
        <v>198.14437899999999</v>
      </c>
    </row>
    <row r="17" spans="2:27" x14ac:dyDescent="0.25">
      <c r="B17" s="5" t="s">
        <v>49</v>
      </c>
      <c r="C17" t="s">
        <v>42</v>
      </c>
      <c r="D17">
        <v>3.9872100000000001</v>
      </c>
      <c r="E17">
        <v>8.2214069999999992</v>
      </c>
      <c r="F17">
        <v>12.678967999999999</v>
      </c>
      <c r="G17">
        <v>17.353263999999999</v>
      </c>
      <c r="H17">
        <v>22.245459</v>
      </c>
      <c r="I17">
        <v>27.360489000000001</v>
      </c>
      <c r="J17">
        <v>32.706828999999999</v>
      </c>
      <c r="K17">
        <v>39.688125999999997</v>
      </c>
      <c r="L17">
        <v>47.145820999999998</v>
      </c>
      <c r="M17">
        <v>55.053024000000001</v>
      </c>
      <c r="N17">
        <v>63.37923</v>
      </c>
      <c r="O17">
        <v>72.122947999999994</v>
      </c>
      <c r="P17">
        <v>81.310158000000001</v>
      </c>
      <c r="Q17">
        <v>90.952110000000005</v>
      </c>
      <c r="R17">
        <v>101.052345</v>
      </c>
      <c r="S17">
        <v>111.672623</v>
      </c>
      <c r="T17">
        <v>122.898735</v>
      </c>
      <c r="U17">
        <v>134.74031099999999</v>
      </c>
      <c r="V17">
        <v>147.20756499999999</v>
      </c>
      <c r="W17">
        <v>160.33393899999999</v>
      </c>
      <c r="X17">
        <v>174.16037</v>
      </c>
      <c r="Y17">
        <v>188.73159799999999</v>
      </c>
      <c r="Z17">
        <v>204.09114099999999</v>
      </c>
      <c r="AA17" s="6">
        <v>220.27789300000001</v>
      </c>
    </row>
    <row r="18" spans="2:27" x14ac:dyDescent="0.25">
      <c r="B18" s="5" t="s">
        <v>49</v>
      </c>
      <c r="C18" t="s">
        <v>43</v>
      </c>
      <c r="D18">
        <v>3.9462809999999999</v>
      </c>
      <c r="E18">
        <v>7.820722</v>
      </c>
      <c r="F18">
        <v>11.634550000000001</v>
      </c>
      <c r="G18">
        <v>15.432283999999999</v>
      </c>
      <c r="H18">
        <v>19.257864000000001</v>
      </c>
      <c r="I18">
        <v>23.144732000000001</v>
      </c>
      <c r="J18">
        <v>27.117775000000002</v>
      </c>
      <c r="K18">
        <v>33.315410999999997</v>
      </c>
      <c r="L18">
        <v>39.289917000000003</v>
      </c>
      <c r="M18">
        <v>45.302132</v>
      </c>
      <c r="N18">
        <v>51.453732000000002</v>
      </c>
      <c r="O18">
        <v>57.788646999999997</v>
      </c>
      <c r="P18">
        <v>64.347351000000003</v>
      </c>
      <c r="Q18">
        <v>71.173996000000002</v>
      </c>
      <c r="R18">
        <v>78.297081000000006</v>
      </c>
      <c r="S18">
        <v>85.725082</v>
      </c>
      <c r="T18">
        <v>93.451453999999998</v>
      </c>
      <c r="U18">
        <v>101.45339199999999</v>
      </c>
      <c r="V18">
        <v>109.74884</v>
      </c>
      <c r="W18">
        <v>118.379471</v>
      </c>
      <c r="X18">
        <v>127.373093</v>
      </c>
      <c r="Y18">
        <v>136.739746</v>
      </c>
      <c r="Z18">
        <v>146.488876</v>
      </c>
      <c r="AA18" s="6">
        <v>156.640533</v>
      </c>
    </row>
    <row r="19" spans="2:27" x14ac:dyDescent="0.25">
      <c r="B19" s="5" t="s">
        <v>49</v>
      </c>
      <c r="C19" t="s">
        <v>44</v>
      </c>
      <c r="D19">
        <v>3.093286</v>
      </c>
      <c r="E19">
        <v>6.1263690000000004</v>
      </c>
      <c r="F19">
        <v>9.2728610000000007</v>
      </c>
      <c r="G19">
        <v>12.568785999999999</v>
      </c>
      <c r="H19">
        <v>16.02495</v>
      </c>
      <c r="I19">
        <v>19.652539999999998</v>
      </c>
      <c r="J19">
        <v>23.459800999999999</v>
      </c>
      <c r="K19">
        <v>29.554392</v>
      </c>
      <c r="L19">
        <v>36.035381000000001</v>
      </c>
      <c r="M19">
        <v>42.325062000000003</v>
      </c>
      <c r="N19">
        <v>48.997661999999998</v>
      </c>
      <c r="O19">
        <v>56.302261000000001</v>
      </c>
      <c r="P19">
        <v>63.994995000000003</v>
      </c>
      <c r="Q19">
        <v>71.994727999999995</v>
      </c>
      <c r="R19">
        <v>80.559196</v>
      </c>
      <c r="S19">
        <v>89.443862999999993</v>
      </c>
      <c r="T19">
        <v>97.902657000000005</v>
      </c>
      <c r="U19">
        <v>106.37103999999999</v>
      </c>
      <c r="V19">
        <v>115.208237</v>
      </c>
      <c r="W19">
        <v>124.357674</v>
      </c>
      <c r="X19">
        <v>133.79605100000001</v>
      </c>
      <c r="Y19">
        <v>143.560181</v>
      </c>
      <c r="Z19">
        <v>153.660675</v>
      </c>
      <c r="AA19" s="6">
        <v>164.06109599999999</v>
      </c>
    </row>
    <row r="20" spans="2:27" x14ac:dyDescent="0.25">
      <c r="B20" s="5" t="s">
        <v>49</v>
      </c>
      <c r="C20" t="s">
        <v>45</v>
      </c>
      <c r="D20">
        <v>3.2107700000000001</v>
      </c>
      <c r="E20">
        <v>6.4217069999999996</v>
      </c>
      <c r="F20">
        <v>9.7369900000000005</v>
      </c>
      <c r="G20">
        <v>13.174643</v>
      </c>
      <c r="H20">
        <v>16.741896000000001</v>
      </c>
      <c r="I20">
        <v>20.449427</v>
      </c>
      <c r="J20">
        <v>24.298846999999999</v>
      </c>
      <c r="K20">
        <v>30.105879000000002</v>
      </c>
      <c r="L20">
        <v>36.368957999999999</v>
      </c>
      <c r="M20">
        <v>42.816215999999997</v>
      </c>
      <c r="N20">
        <v>49.547832</v>
      </c>
      <c r="O20">
        <v>56.736755000000002</v>
      </c>
      <c r="P20">
        <v>64.336472000000001</v>
      </c>
      <c r="Q20">
        <v>72.316719000000006</v>
      </c>
      <c r="R20">
        <v>80.727242000000004</v>
      </c>
      <c r="S20">
        <v>89.359206999999998</v>
      </c>
      <c r="T20">
        <v>97.976546999999997</v>
      </c>
      <c r="U20">
        <v>106.792046</v>
      </c>
      <c r="V20">
        <v>115.934425</v>
      </c>
      <c r="W20">
        <v>125.405006</v>
      </c>
      <c r="X20">
        <v>135.21717799999999</v>
      </c>
      <c r="Y20">
        <v>145.39404300000001</v>
      </c>
      <c r="Z20">
        <v>155.94018600000001</v>
      </c>
      <c r="AA20" s="6">
        <v>166.85647599999999</v>
      </c>
    </row>
    <row r="21" spans="2:27" x14ac:dyDescent="0.25">
      <c r="B21" s="5" t="s">
        <v>49</v>
      </c>
      <c r="C21" t="s">
        <v>46</v>
      </c>
      <c r="D21">
        <v>3.3872</v>
      </c>
      <c r="E21">
        <v>6.6969320000000003</v>
      </c>
      <c r="F21">
        <v>9.9949139999999996</v>
      </c>
      <c r="G21">
        <v>13.323482</v>
      </c>
      <c r="H21">
        <v>16.717457</v>
      </c>
      <c r="I21">
        <v>20.205292</v>
      </c>
      <c r="J21">
        <v>23.799536</v>
      </c>
      <c r="K21">
        <v>29.295998000000001</v>
      </c>
      <c r="L21">
        <v>35.116076999999997</v>
      </c>
      <c r="M21">
        <v>41.330154</v>
      </c>
      <c r="N21">
        <v>47.973385</v>
      </c>
      <c r="O21">
        <v>55.028430999999998</v>
      </c>
      <c r="P21">
        <v>62.438034000000002</v>
      </c>
      <c r="Q21">
        <v>70.163619999999995</v>
      </c>
      <c r="R21">
        <v>78.194159999999997</v>
      </c>
      <c r="S21">
        <v>86.501525999999998</v>
      </c>
      <c r="T21">
        <v>95.098220999999995</v>
      </c>
      <c r="U21">
        <v>104.00662199999999</v>
      </c>
      <c r="V21">
        <v>113.22429700000001</v>
      </c>
      <c r="W21">
        <v>122.745468</v>
      </c>
      <c r="X21">
        <v>132.57788099999999</v>
      </c>
      <c r="Y21">
        <v>142.73654199999999</v>
      </c>
      <c r="Z21">
        <v>153.23225400000001</v>
      </c>
      <c r="AA21" s="6">
        <v>164.07432600000001</v>
      </c>
    </row>
    <row r="22" spans="2:27" ht="15.75" thickBot="1" x14ac:dyDescent="0.3">
      <c r="B22" s="7" t="s">
        <v>49</v>
      </c>
      <c r="C22" s="8" t="s">
        <v>47</v>
      </c>
      <c r="D22" s="8">
        <v>3.86</v>
      </c>
      <c r="E22" s="8">
        <v>7.868995</v>
      </c>
      <c r="F22" s="8">
        <v>12.032738</v>
      </c>
      <c r="G22" s="8">
        <v>16.357201</v>
      </c>
      <c r="H22" s="8">
        <v>20.848589</v>
      </c>
      <c r="I22" s="8">
        <v>25.513344</v>
      </c>
      <c r="J22" s="8">
        <v>30.358158</v>
      </c>
      <c r="K22" s="8">
        <v>37.006424000000003</v>
      </c>
      <c r="L22" s="8">
        <v>43.993752000000001</v>
      </c>
      <c r="M22" s="8">
        <v>51.337432999999997</v>
      </c>
      <c r="N22" s="8">
        <v>59.055641000000001</v>
      </c>
      <c r="O22" s="8">
        <v>67.167479999999998</v>
      </c>
      <c r="P22" s="8">
        <v>75.693023999999994</v>
      </c>
      <c r="Q22" s="8">
        <v>84.653366000000005</v>
      </c>
      <c r="R22" s="8">
        <v>94.070685999999995</v>
      </c>
      <c r="S22" s="8">
        <v>103.96829200000001</v>
      </c>
      <c r="T22" s="8">
        <v>114.37067399999999</v>
      </c>
      <c r="U22" s="8">
        <v>125.303574</v>
      </c>
      <c r="V22" s="8">
        <v>136.79405199999999</v>
      </c>
      <c r="W22" s="8">
        <v>148.870544</v>
      </c>
      <c r="X22" s="8">
        <v>161.56294299999999</v>
      </c>
      <c r="Y22" s="8">
        <v>174.902649</v>
      </c>
      <c r="Z22" s="8">
        <v>188.922684</v>
      </c>
      <c r="AA22" s="9">
        <v>203.65774500000001</v>
      </c>
    </row>
    <row r="23" spans="2:27" ht="15.75" thickBot="1" x14ac:dyDescent="0.3"/>
    <row r="24" spans="2:27" x14ac:dyDescent="0.25">
      <c r="B24" s="2"/>
      <c r="C24" s="3" t="s">
        <v>38</v>
      </c>
      <c r="D24" s="3">
        <v>2017</v>
      </c>
      <c r="E24" s="3">
        <v>2018</v>
      </c>
      <c r="F24" s="3">
        <v>2019</v>
      </c>
      <c r="G24" s="3">
        <v>2020</v>
      </c>
      <c r="H24" s="3">
        <v>2021</v>
      </c>
      <c r="I24" s="3">
        <v>2022</v>
      </c>
      <c r="J24" s="3">
        <v>2023</v>
      </c>
      <c r="K24" s="3">
        <v>2024</v>
      </c>
      <c r="L24" s="3">
        <v>2025</v>
      </c>
      <c r="M24" s="3">
        <v>2026</v>
      </c>
      <c r="N24" s="3">
        <v>2027</v>
      </c>
      <c r="O24" s="3">
        <v>2028</v>
      </c>
      <c r="P24" s="3">
        <v>2029</v>
      </c>
      <c r="Q24" s="3">
        <v>2030</v>
      </c>
      <c r="R24" s="3">
        <v>2031</v>
      </c>
      <c r="S24" s="3">
        <v>2032</v>
      </c>
      <c r="T24" s="3">
        <v>2033</v>
      </c>
      <c r="U24" s="3">
        <v>2034</v>
      </c>
      <c r="V24" s="3">
        <v>2035</v>
      </c>
      <c r="W24" s="3">
        <v>2036</v>
      </c>
      <c r="X24" s="3">
        <v>2037</v>
      </c>
      <c r="Y24" s="3">
        <v>2038</v>
      </c>
      <c r="Z24" s="3">
        <v>2039</v>
      </c>
      <c r="AA24" s="4">
        <v>2040</v>
      </c>
    </row>
    <row r="25" spans="2:27" x14ac:dyDescent="0.25">
      <c r="B25" s="5" t="s">
        <v>39</v>
      </c>
      <c r="C25" t="s">
        <v>40</v>
      </c>
      <c r="D25">
        <v>3.9162050000000002</v>
      </c>
      <c r="E25">
        <v>7.9383489999999997</v>
      </c>
      <c r="F25">
        <v>12.082151</v>
      </c>
      <c r="G25">
        <v>16.350151</v>
      </c>
      <c r="H25">
        <v>20.737206</v>
      </c>
      <c r="I25">
        <v>25.238887999999999</v>
      </c>
      <c r="J25">
        <v>29.855207</v>
      </c>
      <c r="K25">
        <v>36.419266</v>
      </c>
      <c r="L25">
        <v>44.382052999999999</v>
      </c>
      <c r="M25">
        <v>52.911178999999997</v>
      </c>
      <c r="N25">
        <v>62.156543999999997</v>
      </c>
      <c r="O25">
        <v>72.275124000000005</v>
      </c>
      <c r="P25">
        <v>83.508758999999998</v>
      </c>
      <c r="Q25">
        <v>96.108008999999996</v>
      </c>
      <c r="R25">
        <v>110.090446</v>
      </c>
      <c r="S25">
        <v>125.168724</v>
      </c>
      <c r="T25">
        <v>141.17952</v>
      </c>
      <c r="U25">
        <v>158.37233000000001</v>
      </c>
      <c r="V25">
        <v>177.116028</v>
      </c>
      <c r="W25">
        <v>197.565338</v>
      </c>
      <c r="X25">
        <v>219.65400700000001</v>
      </c>
      <c r="Y25">
        <v>243.36750799999999</v>
      </c>
      <c r="Z25">
        <v>269.00717200000003</v>
      </c>
      <c r="AA25" s="6">
        <v>297.114868</v>
      </c>
    </row>
    <row r="26" spans="2:27" x14ac:dyDescent="0.25">
      <c r="B26" s="5" t="s">
        <v>39</v>
      </c>
      <c r="C26" t="s">
        <v>41</v>
      </c>
      <c r="D26">
        <v>3.612873</v>
      </c>
      <c r="E26">
        <v>7.257701</v>
      </c>
      <c r="F26">
        <v>10.992352</v>
      </c>
      <c r="G26">
        <v>14.844478000000001</v>
      </c>
      <c r="H26">
        <v>18.822716</v>
      </c>
      <c r="I26">
        <v>22.925097000000001</v>
      </c>
      <c r="J26">
        <v>27.143591000000001</v>
      </c>
      <c r="K26">
        <v>33.405956000000003</v>
      </c>
      <c r="L26">
        <v>41.003577999999997</v>
      </c>
      <c r="M26">
        <v>49.085391999999999</v>
      </c>
      <c r="N26">
        <v>57.771918999999997</v>
      </c>
      <c r="O26">
        <v>67.183143999999999</v>
      </c>
      <c r="P26">
        <v>77.526291000000001</v>
      </c>
      <c r="Q26">
        <v>89.089423999999994</v>
      </c>
      <c r="R26">
        <v>102.130898</v>
      </c>
      <c r="S26">
        <v>116.773132</v>
      </c>
      <c r="T26">
        <v>133.090149</v>
      </c>
      <c r="U26">
        <v>151.241928</v>
      </c>
      <c r="V26">
        <v>171.44349700000001</v>
      </c>
      <c r="W26">
        <v>193.888184</v>
      </c>
      <c r="X26">
        <v>218.758545</v>
      </c>
      <c r="Y26">
        <v>246.27941899999999</v>
      </c>
      <c r="Z26">
        <v>276.725189</v>
      </c>
      <c r="AA26" s="6">
        <v>310.35925300000002</v>
      </c>
    </row>
    <row r="27" spans="2:27" x14ac:dyDescent="0.25">
      <c r="B27" s="5" t="s">
        <v>39</v>
      </c>
      <c r="C27" t="s">
        <v>42</v>
      </c>
      <c r="D27">
        <v>3.9872450000000002</v>
      </c>
      <c r="E27">
        <v>8.2213940000000001</v>
      </c>
      <c r="F27">
        <v>12.678931</v>
      </c>
      <c r="G27">
        <v>17.353263999999999</v>
      </c>
      <c r="H27">
        <v>22.245557999999999</v>
      </c>
      <c r="I27">
        <v>27.360720000000001</v>
      </c>
      <c r="J27">
        <v>32.707214</v>
      </c>
      <c r="K27">
        <v>39.688727999999998</v>
      </c>
      <c r="L27">
        <v>47.184970999999997</v>
      </c>
      <c r="M27">
        <v>55.064636</v>
      </c>
      <c r="N27">
        <v>63.320576000000003</v>
      </c>
      <c r="O27">
        <v>71.948882999999995</v>
      </c>
      <c r="P27">
        <v>80.962708000000006</v>
      </c>
      <c r="Q27">
        <v>90.360984999999999</v>
      </c>
      <c r="R27">
        <v>100.142967</v>
      </c>
      <c r="S27">
        <v>110.371529</v>
      </c>
      <c r="T27">
        <v>121.12782300000001</v>
      </c>
      <c r="U27">
        <v>132.38883999999999</v>
      </c>
      <c r="V27">
        <v>144.09526099999999</v>
      </c>
      <c r="W27">
        <v>156.20843500000001</v>
      </c>
      <c r="X27">
        <v>168.71464499999999</v>
      </c>
      <c r="Y27">
        <v>181.602203</v>
      </c>
      <c r="Z27">
        <v>194.814911</v>
      </c>
      <c r="AA27" s="6">
        <v>208.22148100000001</v>
      </c>
    </row>
    <row r="28" spans="2:27" x14ac:dyDescent="0.25">
      <c r="B28" s="5" t="s">
        <v>39</v>
      </c>
      <c r="C28" t="s">
        <v>43</v>
      </c>
      <c r="D28">
        <v>3.9462449999999998</v>
      </c>
      <c r="E28">
        <v>7.8206290000000003</v>
      </c>
      <c r="F28">
        <v>11.634487999999999</v>
      </c>
      <c r="G28">
        <v>15.432320000000001</v>
      </c>
      <c r="H28">
        <v>19.258016999999999</v>
      </c>
      <c r="I28">
        <v>23.145002000000002</v>
      </c>
      <c r="J28">
        <v>27.118174</v>
      </c>
      <c r="K28">
        <v>33.315987</v>
      </c>
      <c r="L28">
        <v>39.258118000000003</v>
      </c>
      <c r="M28">
        <v>45.209220999999999</v>
      </c>
      <c r="N28">
        <v>51.284388999999997</v>
      </c>
      <c r="O28">
        <v>57.525557999999997</v>
      </c>
      <c r="P28">
        <v>63.968254000000002</v>
      </c>
      <c r="Q28">
        <v>70.653816000000006</v>
      </c>
      <c r="R28">
        <v>77.606323000000003</v>
      </c>
      <c r="S28">
        <v>84.816260999999997</v>
      </c>
      <c r="T28">
        <v>92.249046000000007</v>
      </c>
      <c r="U28">
        <v>99.855887999999993</v>
      </c>
      <c r="V28">
        <v>107.609306</v>
      </c>
      <c r="W28">
        <v>115.498024</v>
      </c>
      <c r="X28">
        <v>123.517197</v>
      </c>
      <c r="Y28">
        <v>131.65188599999999</v>
      </c>
      <c r="Z28">
        <v>139.84635900000001</v>
      </c>
      <c r="AA28" s="6">
        <v>147.98689300000001</v>
      </c>
    </row>
    <row r="29" spans="2:27" x14ac:dyDescent="0.25">
      <c r="B29" s="5" t="s">
        <v>39</v>
      </c>
      <c r="C29" t="s">
        <v>44</v>
      </c>
      <c r="D29">
        <v>3.0931229999999998</v>
      </c>
      <c r="E29">
        <v>6.1263019999999999</v>
      </c>
      <c r="F29">
        <v>9.2729470000000003</v>
      </c>
      <c r="G29">
        <v>12.568996</v>
      </c>
      <c r="H29">
        <v>16.025269000000002</v>
      </c>
      <c r="I29">
        <v>19.652996000000002</v>
      </c>
      <c r="J29">
        <v>23.460460999999999</v>
      </c>
      <c r="K29">
        <v>29.553640000000001</v>
      </c>
      <c r="L29">
        <v>36.005920000000003</v>
      </c>
      <c r="M29">
        <v>42.235934999999998</v>
      </c>
      <c r="N29">
        <v>48.823303000000003</v>
      </c>
      <c r="O29">
        <v>56.007542000000001</v>
      </c>
      <c r="P29">
        <v>63.520843999999997</v>
      </c>
      <c r="Q29">
        <v>71.260765000000006</v>
      </c>
      <c r="R29">
        <v>79.470687999999996</v>
      </c>
      <c r="S29">
        <v>87.914642000000001</v>
      </c>
      <c r="T29">
        <v>95.849227999999997</v>
      </c>
      <c r="U29">
        <v>103.63648999999999</v>
      </c>
      <c r="V29">
        <v>111.53576700000001</v>
      </c>
      <c r="W29">
        <v>119.41830400000001</v>
      </c>
      <c r="X29">
        <v>127.219635</v>
      </c>
      <c r="Y29">
        <v>134.91850299999999</v>
      </c>
      <c r="Z29">
        <v>142.38017300000001</v>
      </c>
      <c r="AA29" s="6">
        <v>149.32229599999999</v>
      </c>
    </row>
    <row r="30" spans="2:27" x14ac:dyDescent="0.25">
      <c r="B30" s="5" t="s">
        <v>39</v>
      </c>
      <c r="C30" t="s">
        <v>45</v>
      </c>
      <c r="D30">
        <v>3.2107030000000001</v>
      </c>
      <c r="E30">
        <v>6.4216980000000001</v>
      </c>
      <c r="F30">
        <v>9.7370699999999992</v>
      </c>
      <c r="G30">
        <v>13.174809</v>
      </c>
      <c r="H30">
        <v>16.742156999999999</v>
      </c>
      <c r="I30">
        <v>20.449801999999998</v>
      </c>
      <c r="J30">
        <v>24.299340999999998</v>
      </c>
      <c r="K30">
        <v>30.106102</v>
      </c>
      <c r="L30">
        <v>36.330032000000003</v>
      </c>
      <c r="M30">
        <v>42.697463999999997</v>
      </c>
      <c r="N30">
        <v>49.323208000000001</v>
      </c>
      <c r="O30">
        <v>56.368155999999999</v>
      </c>
      <c r="P30">
        <v>63.760876000000003</v>
      </c>
      <c r="Q30">
        <v>71.449462999999994</v>
      </c>
      <c r="R30">
        <v>79.473557</v>
      </c>
      <c r="S30">
        <v>87.633194000000003</v>
      </c>
      <c r="T30">
        <v>95.686813000000001</v>
      </c>
      <c r="U30">
        <v>103.77516199999999</v>
      </c>
      <c r="V30">
        <v>111.92469</v>
      </c>
      <c r="W30">
        <v>120.05497</v>
      </c>
      <c r="X30">
        <v>128.12956199999999</v>
      </c>
      <c r="Y30">
        <v>136.10772700000001</v>
      </c>
      <c r="Z30">
        <v>143.84030200000001</v>
      </c>
      <c r="AA30" s="6">
        <v>151.06191999999999</v>
      </c>
    </row>
    <row r="31" spans="2:27" x14ac:dyDescent="0.25">
      <c r="B31" s="5" t="s">
        <v>39</v>
      </c>
      <c r="C31" t="s">
        <v>46</v>
      </c>
      <c r="D31">
        <v>3.3871349999999998</v>
      </c>
      <c r="E31">
        <v>6.6968480000000001</v>
      </c>
      <c r="F31">
        <v>9.9948870000000003</v>
      </c>
      <c r="G31">
        <v>13.323555000000001</v>
      </c>
      <c r="H31">
        <v>16.717639999999999</v>
      </c>
      <c r="I31">
        <v>20.205577999999999</v>
      </c>
      <c r="J31">
        <v>23.799906</v>
      </c>
      <c r="K31">
        <v>29.296482000000001</v>
      </c>
      <c r="L31">
        <v>35.111176</v>
      </c>
      <c r="M31">
        <v>41.277358999999997</v>
      </c>
      <c r="N31">
        <v>47.846783000000002</v>
      </c>
      <c r="O31">
        <v>54.795513</v>
      </c>
      <c r="P31">
        <v>62.050922</v>
      </c>
      <c r="Q31">
        <v>69.561110999999997</v>
      </c>
      <c r="R31">
        <v>77.31044</v>
      </c>
      <c r="S31">
        <v>85.273833999999994</v>
      </c>
      <c r="T31">
        <v>93.455771999999996</v>
      </c>
      <c r="U31">
        <v>101.836823</v>
      </c>
      <c r="V31">
        <v>110.344307</v>
      </c>
      <c r="W31">
        <v>118.912857</v>
      </c>
      <c r="X31">
        <v>127.518196</v>
      </c>
      <c r="Y31">
        <v>136.139816</v>
      </c>
      <c r="Z31">
        <v>144.69842499999999</v>
      </c>
      <c r="AA31" s="6">
        <v>153.04492200000001</v>
      </c>
    </row>
    <row r="32" spans="2:27" ht="15.75" thickBot="1" x14ac:dyDescent="0.3">
      <c r="B32" s="7" t="s">
        <v>39</v>
      </c>
      <c r="C32" s="8" t="s">
        <v>47</v>
      </c>
      <c r="D32" s="8">
        <v>3.8600050000000001</v>
      </c>
      <c r="E32" s="8">
        <v>7.8689679999999997</v>
      </c>
      <c r="F32" s="8">
        <v>12.032717999999999</v>
      </c>
      <c r="G32" s="8">
        <v>16.357239</v>
      </c>
      <c r="H32" s="8">
        <v>20.848725999999999</v>
      </c>
      <c r="I32" s="8">
        <v>25.513604999999998</v>
      </c>
      <c r="J32" s="8">
        <v>30.358566</v>
      </c>
      <c r="K32" s="8">
        <v>37.006968999999998</v>
      </c>
      <c r="L32" s="8">
        <v>44.267657999999997</v>
      </c>
      <c r="M32" s="8">
        <v>51.886505</v>
      </c>
      <c r="N32" s="8">
        <v>59.920707999999998</v>
      </c>
      <c r="O32" s="8">
        <v>68.414146000000002</v>
      </c>
      <c r="P32" s="8">
        <v>77.417023</v>
      </c>
      <c r="Q32" s="8">
        <v>86.987624999999994</v>
      </c>
      <c r="R32" s="8">
        <v>97.163780000000003</v>
      </c>
      <c r="S32" s="8">
        <v>107.942581</v>
      </c>
      <c r="T32" s="8">
        <v>119.332703</v>
      </c>
      <c r="U32" s="8">
        <v>131.39257799999999</v>
      </c>
      <c r="V32" s="8">
        <v>144.184235</v>
      </c>
      <c r="W32" s="8">
        <v>157.749222</v>
      </c>
      <c r="X32" s="8">
        <v>172.12359599999999</v>
      </c>
      <c r="Y32" s="8">
        <v>187.366196</v>
      </c>
      <c r="Z32" s="8">
        <v>203.578644</v>
      </c>
      <c r="AA32" s="9">
        <v>220.89492799999999</v>
      </c>
    </row>
  </sheetData>
  <pageMargins left="0.7" right="0.7" top="0.75" bottom="0.75" header="0.3" footer="0.3"/>
  <ignoredErrors>
    <ignoredError sqref="G11 I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5"/>
  <sheetViews>
    <sheetView tabSelected="1" zoomScale="70" zoomScaleNormal="70" workbookViewId="0">
      <selection activeCell="E31" sqref="E31"/>
    </sheetView>
  </sheetViews>
  <sheetFormatPr defaultColWidth="8.85546875" defaultRowHeight="15" x14ac:dyDescent="0.25"/>
  <cols>
    <col min="1" max="1" width="8.85546875" style="14"/>
    <col min="2" max="2" width="24.140625" style="14" bestFit="1" customWidth="1"/>
    <col min="3" max="6" width="11.85546875" style="14" customWidth="1"/>
    <col min="7" max="16384" width="8.85546875" style="14"/>
  </cols>
  <sheetData>
    <row r="2" spans="1:27" x14ac:dyDescent="0.25">
      <c r="B2" s="14" t="s">
        <v>36</v>
      </c>
      <c r="C2" s="14">
        <v>2017</v>
      </c>
      <c r="D2" s="14">
        <v>2018</v>
      </c>
      <c r="E2" s="14">
        <v>2019</v>
      </c>
      <c r="F2" s="14">
        <v>2020</v>
      </c>
      <c r="G2" s="14">
        <v>2021</v>
      </c>
      <c r="H2" s="14">
        <v>2022</v>
      </c>
      <c r="I2" s="14">
        <v>2023</v>
      </c>
      <c r="J2" s="14">
        <v>2024</v>
      </c>
      <c r="K2" s="14">
        <v>2025</v>
      </c>
      <c r="L2" s="14">
        <v>2026</v>
      </c>
      <c r="M2" s="14">
        <v>2027</v>
      </c>
      <c r="N2" s="14">
        <v>2028</v>
      </c>
      <c r="O2" s="14">
        <v>2029</v>
      </c>
      <c r="P2" s="14">
        <v>2030</v>
      </c>
      <c r="Q2" s="14">
        <v>2031</v>
      </c>
      <c r="R2" s="14">
        <v>2032</v>
      </c>
      <c r="S2" s="14">
        <v>2033</v>
      </c>
      <c r="T2" s="14">
        <v>2034</v>
      </c>
      <c r="U2" s="14">
        <v>2035</v>
      </c>
      <c r="V2" s="14">
        <v>2036</v>
      </c>
      <c r="W2" s="14">
        <v>2037</v>
      </c>
      <c r="X2" s="14">
        <v>2038</v>
      </c>
      <c r="Y2" s="14">
        <v>2039</v>
      </c>
      <c r="Z2" s="14">
        <v>2040</v>
      </c>
    </row>
    <row r="3" spans="1:27" x14ac:dyDescent="0.25">
      <c r="A3" s="14" t="s">
        <v>55</v>
      </c>
      <c r="B3" s="14" t="s">
        <v>52</v>
      </c>
      <c r="C3" s="14">
        <v>3.8600050000000001</v>
      </c>
      <c r="D3" s="14">
        <v>3.8599670000000001</v>
      </c>
      <c r="E3" s="14">
        <v>3.860007</v>
      </c>
      <c r="F3" s="14">
        <v>3.860052</v>
      </c>
      <c r="G3" s="14">
        <v>3.8600840000000001</v>
      </c>
      <c r="H3" s="14">
        <v>3.8600979999999998</v>
      </c>
      <c r="I3" s="14">
        <v>3.8601079999999999</v>
      </c>
      <c r="J3" s="14">
        <v>5.1000909999999999</v>
      </c>
      <c r="K3" s="14">
        <v>5.1000189999999996</v>
      </c>
      <c r="L3" s="14">
        <v>5.1001320000000003</v>
      </c>
      <c r="M3" s="14">
        <v>5.100104</v>
      </c>
      <c r="N3" s="14">
        <v>5.1000680000000003</v>
      </c>
      <c r="O3" s="14">
        <v>5.1000449999999997</v>
      </c>
      <c r="P3" s="14">
        <v>5.1000290000000001</v>
      </c>
      <c r="Q3" s="14">
        <v>5.1000160000000001</v>
      </c>
      <c r="R3" s="14">
        <v>5.1000220000000001</v>
      </c>
      <c r="S3" s="14">
        <v>5.1000500000000004</v>
      </c>
      <c r="T3" s="14">
        <v>5.100015</v>
      </c>
      <c r="U3" s="14">
        <v>5.0999990000000004</v>
      </c>
      <c r="V3" s="14">
        <v>5.0999930000000004</v>
      </c>
      <c r="W3" s="14">
        <v>5.0999879999999997</v>
      </c>
      <c r="X3" s="14">
        <v>5.0999829999999999</v>
      </c>
      <c r="Y3" s="14">
        <v>5.0999889999999999</v>
      </c>
      <c r="Z3" s="14">
        <v>5.0999889999999999</v>
      </c>
    </row>
    <row r="4" spans="1:27" x14ac:dyDescent="0.25">
      <c r="B4" s="14" t="s">
        <v>53</v>
      </c>
      <c r="C4" s="14">
        <v>3.8600050000000001</v>
      </c>
      <c r="D4" s="14">
        <v>3.8599670000000001</v>
      </c>
      <c r="E4" s="14">
        <v>3.860007</v>
      </c>
      <c r="F4" s="14">
        <v>3.860052</v>
      </c>
      <c r="G4" s="14">
        <v>3.8600840000000001</v>
      </c>
      <c r="H4" s="14">
        <v>3.8600979999999998</v>
      </c>
      <c r="I4" s="14">
        <v>3.8601079999999999</v>
      </c>
      <c r="J4" s="14">
        <v>5.1000909999999999</v>
      </c>
      <c r="K4" s="14">
        <v>5.2995020000000004</v>
      </c>
      <c r="L4" s="14">
        <v>5.2810490000000003</v>
      </c>
      <c r="M4" s="14">
        <v>5.2896080000000003</v>
      </c>
      <c r="N4" s="14">
        <v>5.311032</v>
      </c>
      <c r="O4" s="14">
        <v>5.3456789999999996</v>
      </c>
      <c r="P4" s="14">
        <v>5.3944130000000001</v>
      </c>
      <c r="Q4" s="14">
        <v>5.4421540000000004</v>
      </c>
      <c r="R4" s="14">
        <v>5.4669280000000002</v>
      </c>
      <c r="S4" s="14">
        <v>5.4775330000000002</v>
      </c>
      <c r="T4" s="14">
        <v>5.4984359999999999</v>
      </c>
      <c r="U4" s="14">
        <v>5.5281209999999996</v>
      </c>
      <c r="V4" s="14">
        <v>5.5552229999999998</v>
      </c>
      <c r="W4" s="14">
        <v>5.5768839999999997</v>
      </c>
      <c r="X4" s="14">
        <v>5.6013500000000001</v>
      </c>
      <c r="Y4" s="14">
        <v>5.6417390000000003</v>
      </c>
      <c r="Z4" s="14">
        <v>5.7040499999999996</v>
      </c>
    </row>
    <row r="5" spans="1:27" x14ac:dyDescent="0.25">
      <c r="B5" s="14" t="s">
        <v>54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0.189804</v>
      </c>
      <c r="L5" s="14">
        <v>0.17213800000000001</v>
      </c>
      <c r="M5" s="14">
        <v>0.180308</v>
      </c>
      <c r="N5" s="14">
        <v>0.20072699999999999</v>
      </c>
      <c r="O5" s="14">
        <v>0.23371400000000001</v>
      </c>
      <c r="P5" s="14">
        <v>0.28009899999999999</v>
      </c>
      <c r="Q5" s="14">
        <v>0.32553599999999999</v>
      </c>
      <c r="R5" s="14">
        <v>0.34910099999999999</v>
      </c>
      <c r="S5" s="14">
        <v>0.35916500000000001</v>
      </c>
      <c r="T5" s="14">
        <v>0.37908799999999998</v>
      </c>
      <c r="U5" s="14">
        <v>0.40734700000000001</v>
      </c>
      <c r="V5" s="14">
        <v>0.43314000000000002</v>
      </c>
      <c r="W5" s="14">
        <v>0.45375399999999999</v>
      </c>
      <c r="X5" s="14">
        <v>0.47703800000000002</v>
      </c>
      <c r="Y5" s="14">
        <v>0.51546199999999998</v>
      </c>
      <c r="Z5" s="14">
        <v>0.57474899999999995</v>
      </c>
    </row>
    <row r="9" spans="1:27" x14ac:dyDescent="0.25">
      <c r="B9" s="14" t="s">
        <v>36</v>
      </c>
      <c r="C9" s="14">
        <v>2017</v>
      </c>
      <c r="D9" s="14">
        <v>2018</v>
      </c>
      <c r="E9" s="14">
        <v>2019</v>
      </c>
      <c r="F9" s="14">
        <v>2020</v>
      </c>
      <c r="G9" s="14">
        <v>2021</v>
      </c>
      <c r="H9" s="14">
        <v>2022</v>
      </c>
      <c r="I9" s="14">
        <v>2023</v>
      </c>
      <c r="J9" s="14">
        <v>2024</v>
      </c>
      <c r="K9" s="14">
        <v>2025</v>
      </c>
      <c r="L9" s="14">
        <v>2026</v>
      </c>
      <c r="M9" s="14">
        <v>2027</v>
      </c>
      <c r="N9" s="14">
        <v>2028</v>
      </c>
      <c r="O9" s="14">
        <v>2029</v>
      </c>
      <c r="P9" s="14">
        <v>2030</v>
      </c>
      <c r="Q9" s="14">
        <v>2031</v>
      </c>
      <c r="R9" s="14">
        <v>2032</v>
      </c>
      <c r="S9" s="14">
        <v>2033</v>
      </c>
      <c r="T9" s="14">
        <v>2034</v>
      </c>
      <c r="U9" s="14">
        <v>2035</v>
      </c>
      <c r="V9" s="14">
        <v>2036</v>
      </c>
      <c r="W9" s="14">
        <v>2037</v>
      </c>
      <c r="X9" s="14">
        <v>2038</v>
      </c>
      <c r="Y9" s="14">
        <v>2039</v>
      </c>
      <c r="Z9" s="14">
        <v>2040</v>
      </c>
    </row>
    <row r="10" spans="1:27" x14ac:dyDescent="0.25">
      <c r="A10" s="14" t="s">
        <v>56</v>
      </c>
      <c r="B10" s="14" t="s">
        <v>50</v>
      </c>
      <c r="C10" s="15">
        <v>3.8600050000000001</v>
      </c>
      <c r="D10" s="15">
        <v>7.8689679999999997</v>
      </c>
      <c r="E10" s="15">
        <v>12.032717999999999</v>
      </c>
      <c r="F10" s="15">
        <v>16.357239</v>
      </c>
      <c r="G10" s="15">
        <v>20.848725999999999</v>
      </c>
      <c r="H10" s="15">
        <v>25.513604999999998</v>
      </c>
      <c r="I10" s="15">
        <v>30.358566</v>
      </c>
      <c r="J10" s="15">
        <v>37.006968999999998</v>
      </c>
      <c r="K10" s="15">
        <v>43.994349999999997</v>
      </c>
      <c r="L10" s="15">
        <v>51.338253000000002</v>
      </c>
      <c r="M10" s="15">
        <v>59.056663999999998</v>
      </c>
      <c r="N10" s="15">
        <v>67.168662999999995</v>
      </c>
      <c r="O10" s="15">
        <v>75.694344000000001</v>
      </c>
      <c r="P10" s="15">
        <v>84.654808000000003</v>
      </c>
      <c r="Q10" s="15">
        <v>94.072235000000006</v>
      </c>
      <c r="R10" s="15">
        <v>103.96996300000001</v>
      </c>
      <c r="S10" s="15">
        <v>114.372536</v>
      </c>
      <c r="T10" s="15">
        <v>125.305565</v>
      </c>
      <c r="U10" s="15">
        <v>136.796143</v>
      </c>
      <c r="V10" s="15">
        <v>148.872726</v>
      </c>
      <c r="W10" s="15">
        <v>161.565201</v>
      </c>
      <c r="X10" s="15">
        <v>174.90498400000001</v>
      </c>
      <c r="Y10" s="15">
        <v>188.92510999999999</v>
      </c>
      <c r="Z10" s="15">
        <v>203.66026299999999</v>
      </c>
    </row>
    <row r="11" spans="1:27" x14ac:dyDescent="0.25">
      <c r="B11" s="14" t="s">
        <v>51</v>
      </c>
      <c r="C11" s="15">
        <v>3.8600050000000001</v>
      </c>
      <c r="D11" s="15">
        <v>7.8689679999999997</v>
      </c>
      <c r="E11" s="15">
        <v>12.032717999999999</v>
      </c>
      <c r="F11" s="15">
        <v>16.357239</v>
      </c>
      <c r="G11" s="15">
        <v>20.848725999999999</v>
      </c>
      <c r="H11" s="15">
        <v>25.513604999999998</v>
      </c>
      <c r="I11" s="15">
        <v>30.358566</v>
      </c>
      <c r="J11" s="15">
        <v>37.006968999999998</v>
      </c>
      <c r="K11" s="15">
        <v>44.267657999999997</v>
      </c>
      <c r="L11" s="15">
        <v>51.886505</v>
      </c>
      <c r="M11" s="15">
        <v>59.920707999999998</v>
      </c>
      <c r="N11" s="15">
        <v>68.414146000000002</v>
      </c>
      <c r="O11" s="15">
        <v>77.417023</v>
      </c>
      <c r="P11" s="15">
        <v>86.987624999999994</v>
      </c>
      <c r="Q11" s="15">
        <v>97.163780000000003</v>
      </c>
      <c r="R11" s="15">
        <v>107.942581</v>
      </c>
      <c r="S11" s="15">
        <v>119.332703</v>
      </c>
      <c r="T11" s="15">
        <v>131.39257799999999</v>
      </c>
      <c r="U11" s="15">
        <v>144.184235</v>
      </c>
      <c r="V11" s="15">
        <v>157.749222</v>
      </c>
      <c r="W11" s="15">
        <v>172.12359599999999</v>
      </c>
      <c r="X11" s="15">
        <v>187.366196</v>
      </c>
      <c r="Y11" s="15">
        <v>203.578644</v>
      </c>
      <c r="Z11" s="15">
        <v>220.89492799999999</v>
      </c>
    </row>
    <row r="12" spans="1:27" x14ac:dyDescent="0.25">
      <c r="B12" s="14" t="s">
        <v>37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0.189805</v>
      </c>
      <c r="L12" s="15">
        <v>0.36226900000000001</v>
      </c>
      <c r="M12" s="15">
        <v>0.54322999999999999</v>
      </c>
      <c r="N12" s="15">
        <v>0.74504599999999999</v>
      </c>
      <c r="O12" s="15">
        <v>0.98049799999999998</v>
      </c>
      <c r="P12" s="15">
        <v>1.263339</v>
      </c>
      <c r="Q12" s="15">
        <v>1.5929869999999999</v>
      </c>
      <c r="R12" s="15">
        <v>1.947649</v>
      </c>
      <c r="S12" s="15">
        <v>2.3138070000000002</v>
      </c>
      <c r="T12" s="15">
        <v>2.70167</v>
      </c>
      <c r="U12" s="15">
        <v>3.1200220000000001</v>
      </c>
      <c r="V12" s="15">
        <v>3.566681</v>
      </c>
      <c r="W12" s="15">
        <v>4.0366210000000002</v>
      </c>
      <c r="X12" s="15">
        <v>4.5329170000000003</v>
      </c>
      <c r="Y12" s="15">
        <v>5.0717410000000003</v>
      </c>
      <c r="Z12" s="15">
        <v>5.6756399999999996</v>
      </c>
    </row>
    <row r="14" spans="1:27" x14ac:dyDescent="0.25">
      <c r="B14" s="16"/>
      <c r="C14" s="15">
        <f>C10+100</f>
        <v>103.860005</v>
      </c>
      <c r="D14" s="15">
        <f t="shared" ref="D14:Z15" si="0">D10+100</f>
        <v>107.868968</v>
      </c>
      <c r="E14" s="15">
        <f t="shared" si="0"/>
        <v>112.032718</v>
      </c>
      <c r="F14" s="15">
        <f t="shared" si="0"/>
        <v>116.35723899999999</v>
      </c>
      <c r="G14" s="15">
        <f t="shared" si="0"/>
        <v>120.848726</v>
      </c>
      <c r="H14" s="15">
        <f t="shared" si="0"/>
        <v>125.513605</v>
      </c>
      <c r="I14" s="15">
        <f t="shared" si="0"/>
        <v>130.358566</v>
      </c>
      <c r="J14" s="15">
        <f t="shared" si="0"/>
        <v>137.006969</v>
      </c>
      <c r="K14" s="15">
        <f t="shared" si="0"/>
        <v>143.99435</v>
      </c>
      <c r="L14" s="15">
        <f t="shared" si="0"/>
        <v>151.33825300000001</v>
      </c>
      <c r="M14" s="15">
        <f t="shared" si="0"/>
        <v>159.05666400000001</v>
      </c>
      <c r="N14" s="15">
        <f t="shared" si="0"/>
        <v>167.16866299999998</v>
      </c>
      <c r="O14" s="15">
        <f t="shared" si="0"/>
        <v>175.694344</v>
      </c>
      <c r="P14" s="15">
        <f t="shared" si="0"/>
        <v>184.654808</v>
      </c>
      <c r="Q14" s="15">
        <f t="shared" si="0"/>
        <v>194.07223500000001</v>
      </c>
      <c r="R14" s="15">
        <f t="shared" si="0"/>
        <v>203.96996300000001</v>
      </c>
      <c r="S14" s="15">
        <f t="shared" si="0"/>
        <v>214.372536</v>
      </c>
      <c r="T14" s="15">
        <f t="shared" si="0"/>
        <v>225.305565</v>
      </c>
      <c r="U14" s="15">
        <f t="shared" si="0"/>
        <v>236.796143</v>
      </c>
      <c r="V14" s="15">
        <f t="shared" si="0"/>
        <v>248.872726</v>
      </c>
      <c r="W14" s="15">
        <f t="shared" si="0"/>
        <v>261.565201</v>
      </c>
      <c r="X14" s="15">
        <f t="shared" si="0"/>
        <v>274.90498400000001</v>
      </c>
      <c r="Y14" s="15">
        <f t="shared" si="0"/>
        <v>288.92511000000002</v>
      </c>
      <c r="Z14" s="15">
        <f t="shared" si="0"/>
        <v>303.66026299999999</v>
      </c>
      <c r="AA14" s="17"/>
    </row>
    <row r="15" spans="1:27" x14ac:dyDescent="0.25">
      <c r="C15" s="15">
        <f>C11+100</f>
        <v>103.860005</v>
      </c>
      <c r="D15" s="15">
        <f t="shared" si="0"/>
        <v>107.868968</v>
      </c>
      <c r="E15" s="15">
        <f t="shared" si="0"/>
        <v>112.032718</v>
      </c>
      <c r="F15" s="15">
        <f t="shared" si="0"/>
        <v>116.35723899999999</v>
      </c>
      <c r="G15" s="15">
        <f t="shared" si="0"/>
        <v>120.848726</v>
      </c>
      <c r="H15" s="15">
        <f t="shared" si="0"/>
        <v>125.513605</v>
      </c>
      <c r="I15" s="15">
        <f t="shared" si="0"/>
        <v>130.358566</v>
      </c>
      <c r="J15" s="15">
        <f t="shared" si="0"/>
        <v>137.006969</v>
      </c>
      <c r="K15" s="15">
        <f t="shared" si="0"/>
        <v>144.26765799999998</v>
      </c>
      <c r="L15" s="15">
        <f t="shared" si="0"/>
        <v>151.886505</v>
      </c>
      <c r="M15" s="15">
        <f t="shared" si="0"/>
        <v>159.92070799999999</v>
      </c>
      <c r="N15" s="15">
        <f t="shared" si="0"/>
        <v>168.41414600000002</v>
      </c>
      <c r="O15" s="15">
        <f t="shared" si="0"/>
        <v>177.417023</v>
      </c>
      <c r="P15" s="15">
        <f t="shared" si="0"/>
        <v>186.98762499999998</v>
      </c>
      <c r="Q15" s="15">
        <f t="shared" si="0"/>
        <v>197.16378</v>
      </c>
      <c r="R15" s="15">
        <f t="shared" si="0"/>
        <v>207.94258100000002</v>
      </c>
      <c r="S15" s="15">
        <f t="shared" si="0"/>
        <v>219.33270299999998</v>
      </c>
      <c r="T15" s="15">
        <f t="shared" si="0"/>
        <v>231.39257799999999</v>
      </c>
      <c r="U15" s="15">
        <f t="shared" si="0"/>
        <v>244.184235</v>
      </c>
      <c r="V15" s="15">
        <f t="shared" si="0"/>
        <v>257.74922200000003</v>
      </c>
      <c r="W15" s="15">
        <f t="shared" si="0"/>
        <v>272.12359600000002</v>
      </c>
      <c r="X15" s="15">
        <f t="shared" si="0"/>
        <v>287.366196</v>
      </c>
      <c r="Y15" s="15">
        <f t="shared" si="0"/>
        <v>303.578644</v>
      </c>
      <c r="Z15" s="15">
        <f t="shared" si="0"/>
        <v>320.89492799999999</v>
      </c>
      <c r="AA15" s="17"/>
    </row>
    <row r="17" spans="2:26" x14ac:dyDescent="0.25">
      <c r="C17" s="14">
        <f>(C15/C14-1)*100</f>
        <v>0</v>
      </c>
      <c r="D17" s="14">
        <f t="shared" ref="D17:Z17" si="1">(D15/D14-1)*100</f>
        <v>0</v>
      </c>
      <c r="E17" s="14">
        <f t="shared" si="1"/>
        <v>0</v>
      </c>
      <c r="F17" s="14">
        <f t="shared" si="1"/>
        <v>0</v>
      </c>
      <c r="G17" s="14">
        <f t="shared" si="1"/>
        <v>0</v>
      </c>
      <c r="H17" s="14">
        <f t="shared" si="1"/>
        <v>0</v>
      </c>
      <c r="I17" s="14">
        <f t="shared" si="1"/>
        <v>0</v>
      </c>
      <c r="J17" s="14">
        <f t="shared" si="1"/>
        <v>0</v>
      </c>
      <c r="K17" s="15">
        <f t="shared" si="1"/>
        <v>0.1898046694193134</v>
      </c>
      <c r="L17" s="14">
        <f t="shared" si="1"/>
        <v>0.36226928032530026</v>
      </c>
      <c r="M17" s="14">
        <f t="shared" si="1"/>
        <v>0.54323030439011877</v>
      </c>
      <c r="N17" s="14">
        <f t="shared" si="1"/>
        <v>0.74504573862628209</v>
      </c>
      <c r="O17" s="14">
        <f t="shared" si="1"/>
        <v>0.98049769889005933</v>
      </c>
      <c r="P17" s="14">
        <f t="shared" si="1"/>
        <v>1.2633394306201806</v>
      </c>
      <c r="Q17" s="14">
        <f t="shared" si="1"/>
        <v>1.5929867556788713</v>
      </c>
      <c r="R17" s="14">
        <f t="shared" si="1"/>
        <v>1.9476485368583374</v>
      </c>
      <c r="S17" s="14">
        <f t="shared" si="1"/>
        <v>2.3138071193970378</v>
      </c>
      <c r="T17" s="14">
        <f t="shared" si="1"/>
        <v>2.701670063054129</v>
      </c>
      <c r="U17" s="14">
        <f t="shared" si="1"/>
        <v>3.1200221027248842</v>
      </c>
      <c r="V17" s="14">
        <f t="shared" si="1"/>
        <v>3.5666809066092764</v>
      </c>
      <c r="W17" s="14">
        <f t="shared" si="1"/>
        <v>4.036620681816161</v>
      </c>
      <c r="X17" s="14">
        <f t="shared" si="1"/>
        <v>4.532915998350906</v>
      </c>
      <c r="Y17" s="14">
        <f t="shared" si="1"/>
        <v>5.0717412550262519</v>
      </c>
      <c r="Z17" s="14">
        <f t="shared" si="1"/>
        <v>5.6756405430630874</v>
      </c>
    </row>
    <row r="22" spans="2:26" x14ac:dyDescent="0.25">
      <c r="B22" s="14" t="s">
        <v>57</v>
      </c>
      <c r="C22" s="14" t="s">
        <v>34</v>
      </c>
      <c r="D22" s="14" t="s">
        <v>60</v>
      </c>
      <c r="E22" s="14" t="s">
        <v>62</v>
      </c>
    </row>
    <row r="23" spans="2:26" x14ac:dyDescent="0.25">
      <c r="B23" s="14" t="s">
        <v>61</v>
      </c>
      <c r="C23" s="15">
        <f>100*(((P14/K14)^(1/5))-1)</f>
        <v>5.1000768752444081</v>
      </c>
      <c r="D23" s="15">
        <f>100*(((P15/K15)^(1/5))-1)</f>
        <v>5.3243473753456394</v>
      </c>
      <c r="E23" s="15">
        <f>D23-C23</f>
        <v>0.22427050010123128</v>
      </c>
    </row>
    <row r="24" spans="2:26" x14ac:dyDescent="0.25">
      <c r="B24" s="14" t="s">
        <v>58</v>
      </c>
    </row>
    <row r="25" spans="2:26" x14ac:dyDescent="0.25">
      <c r="B25" s="14" t="s">
        <v>59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tseries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IRUM</dc:creator>
  <cp:lastModifiedBy>Megananda</cp:lastModifiedBy>
  <dcterms:created xsi:type="dcterms:W3CDTF">2024-09-04T11:44:01Z</dcterms:created>
  <dcterms:modified xsi:type="dcterms:W3CDTF">2024-09-09T11:05:17Z</dcterms:modified>
</cp:coreProperties>
</file>