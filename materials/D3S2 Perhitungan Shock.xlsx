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KDB\Dropbox\E\WORK\CEDS\CGE Kepri 2025\Training\D3S2-Policy Simulation\"/>
    </mc:Choice>
  </mc:AlternateContent>
  <xr:revisionPtr revIDLastSave="0" documentId="13_ncr:1_{4330B335-A5D3-4610-B05C-B26B5C426021}" xr6:coauthVersionLast="47" xr6:coauthVersionMax="47" xr10:uidLastSave="{00000000-0000-0000-0000-000000000000}"/>
  <bookViews>
    <workbookView xWindow="-110" yWindow="-110" windowWidth="21820" windowHeight="13000" activeTab="1" xr2:uid="{00000000-000D-0000-FFFF-FFFF00000000}"/>
  </bookViews>
  <sheets>
    <sheet name="perkiraan shock" sheetId="9" r:id="rId1"/>
    <sheet name="Manuf" sheetId="6" r:id="rId2"/>
    <sheet name="Banking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3" i="6" l="1"/>
  <c r="AD33" i="6"/>
  <c r="AC33" i="6"/>
  <c r="AE32" i="6"/>
  <c r="AD32" i="6"/>
  <c r="AC32" i="6"/>
  <c r="AE31" i="6"/>
  <c r="AD31" i="6"/>
  <c r="AC31" i="6"/>
  <c r="AE30" i="6"/>
  <c r="AD30" i="6"/>
  <c r="AC30" i="6"/>
  <c r="AE29" i="6"/>
  <c r="AD29" i="6"/>
  <c r="AC29" i="6"/>
  <c r="AE28" i="6"/>
  <c r="AD28" i="6"/>
  <c r="AC28" i="6"/>
  <c r="AE27" i="6"/>
  <c r="AD27" i="6"/>
  <c r="AC27" i="6"/>
  <c r="AE26" i="6"/>
  <c r="AD26" i="6"/>
  <c r="AC26" i="6"/>
  <c r="AE25" i="6"/>
  <c r="AD25" i="6"/>
  <c r="AC25" i="6"/>
  <c r="AE24" i="6"/>
  <c r="AD24" i="6"/>
  <c r="AC24" i="6"/>
  <c r="AE23" i="6"/>
  <c r="AD23" i="6"/>
  <c r="AC23" i="6"/>
  <c r="AE22" i="6"/>
  <c r="AD22" i="6"/>
  <c r="AC22" i="6"/>
  <c r="AE21" i="6"/>
  <c r="AD21" i="6"/>
  <c r="AC21" i="6"/>
  <c r="AE20" i="6"/>
  <c r="AD20" i="6"/>
  <c r="AC20" i="6"/>
  <c r="AE19" i="6"/>
  <c r="AD19" i="6"/>
  <c r="AC19" i="6"/>
  <c r="AE18" i="6"/>
  <c r="AD18" i="6"/>
  <c r="AC18" i="6"/>
  <c r="AE17" i="6"/>
  <c r="AD17" i="6"/>
  <c r="AC17" i="6"/>
  <c r="AE16" i="6"/>
  <c r="AD16" i="6"/>
  <c r="AC16" i="6"/>
  <c r="AE15" i="6"/>
  <c r="AD15" i="6"/>
  <c r="AC15" i="6"/>
  <c r="AE14" i="6"/>
  <c r="AD14" i="6"/>
  <c r="AC14" i="6"/>
  <c r="AE13" i="6"/>
  <c r="AD13" i="6"/>
  <c r="AC13" i="6"/>
  <c r="AE12" i="6"/>
  <c r="AD12" i="6"/>
  <c r="AC12" i="6"/>
  <c r="AE11" i="6"/>
  <c r="AD11" i="6"/>
  <c r="AC11" i="6"/>
  <c r="AE10" i="6"/>
  <c r="AD10" i="6"/>
  <c r="AC10" i="6"/>
  <c r="AE9" i="6"/>
  <c r="AD9" i="6"/>
  <c r="AC9" i="6"/>
  <c r="AE8" i="6"/>
  <c r="AD8" i="6"/>
  <c r="AC8" i="6"/>
  <c r="AE7" i="6"/>
  <c r="AD7" i="6"/>
  <c r="AC7" i="6"/>
  <c r="AE6" i="6"/>
  <c r="AD6" i="6"/>
  <c r="AC6" i="6"/>
  <c r="AE5" i="6"/>
  <c r="AD5" i="6"/>
  <c r="AC5" i="6"/>
  <c r="AE4" i="6"/>
  <c r="AD4" i="6"/>
  <c r="AC4" i="6"/>
  <c r="AE3" i="6"/>
  <c r="AD3" i="6"/>
  <c r="AC3" i="6"/>
  <c r="E20" i="9"/>
  <c r="D21" i="9"/>
  <c r="C21" i="9"/>
  <c r="E19" i="9"/>
  <c r="D19" i="9"/>
  <c r="E16" i="9"/>
  <c r="H16" i="9" s="1"/>
  <c r="D16" i="9"/>
  <c r="D23" i="9" s="1"/>
  <c r="C16" i="9"/>
  <c r="C23" i="9" s="1"/>
  <c r="E15" i="9"/>
  <c r="H15" i="9" s="1"/>
  <c r="D15" i="9"/>
  <c r="D22" i="9" s="1"/>
  <c r="C15" i="9"/>
  <c r="C22" i="9" s="1"/>
  <c r="E14" i="9"/>
  <c r="H14" i="9" s="1"/>
  <c r="D14" i="9"/>
  <c r="C14" i="9"/>
  <c r="E13" i="9"/>
  <c r="H13" i="9" s="1"/>
  <c r="D13" i="9"/>
  <c r="D20" i="9" s="1"/>
  <c r="C13" i="9"/>
  <c r="C20" i="9" s="1"/>
  <c r="E12" i="9"/>
  <c r="H12" i="9" s="1"/>
  <c r="D12" i="9"/>
  <c r="C12" i="9"/>
  <c r="E11" i="9"/>
  <c r="D11" i="9"/>
  <c r="E8" i="9"/>
  <c r="H8" i="9" s="1"/>
  <c r="D8" i="9"/>
  <c r="C8" i="9"/>
  <c r="E7" i="9"/>
  <c r="H7" i="9" s="1"/>
  <c r="D7" i="9"/>
  <c r="C7" i="9"/>
  <c r="E6" i="9"/>
  <c r="H6" i="9" s="1"/>
  <c r="D6" i="9"/>
  <c r="C6" i="9"/>
  <c r="E5" i="9"/>
  <c r="H5" i="9" s="1"/>
  <c r="D5" i="9"/>
  <c r="C5" i="9"/>
  <c r="E4" i="9"/>
  <c r="H4" i="9" s="1"/>
  <c r="D4" i="9"/>
  <c r="C4" i="9"/>
  <c r="I12" i="9" l="1"/>
  <c r="K12" i="9" s="1"/>
  <c r="F12" i="9"/>
  <c r="G12" i="9" s="1"/>
  <c r="E22" i="9" s="1"/>
  <c r="H22" i="9" s="1"/>
  <c r="I22" i="9" s="1"/>
  <c r="J22" i="9" s="1"/>
  <c r="F4" i="9"/>
  <c r="E23" i="9" l="1"/>
  <c r="H23" i="9" s="1"/>
  <c r="I23" i="9" s="1"/>
  <c r="J23" i="9" s="1"/>
  <c r="E21" i="9"/>
  <c r="H21" i="9" s="1"/>
  <c r="I21" i="9" s="1"/>
  <c r="J21" i="9" s="1"/>
  <c r="H20" i="9"/>
  <c r="I20" i="9" s="1"/>
  <c r="J20" i="9" s="1"/>
  <c r="AB33" i="6" l="1"/>
  <c r="AS33" i="6" s="1"/>
  <c r="AA33" i="6"/>
  <c r="S33" i="6"/>
  <c r="R33" i="6"/>
  <c r="AB32" i="6"/>
  <c r="AS32" i="6" s="1"/>
  <c r="AA32" i="6"/>
  <c r="S32" i="6"/>
  <c r="R32" i="6"/>
  <c r="AB31" i="6"/>
  <c r="AS31" i="6" s="1"/>
  <c r="AA31" i="6"/>
  <c r="S31" i="6"/>
  <c r="R31" i="6"/>
  <c r="AR30" i="6"/>
  <c r="AB30" i="6"/>
  <c r="AS30" i="6" s="1"/>
  <c r="AW4" i="6" s="1"/>
  <c r="BE13" i="6" s="1"/>
  <c r="AA30" i="6"/>
  <c r="S30" i="6"/>
  <c r="W4" i="6" s="1"/>
  <c r="BE5" i="6" s="1"/>
  <c r="R30" i="6"/>
  <c r="V4" i="6" s="1"/>
  <c r="BD5" i="6" s="1"/>
  <c r="AB29" i="6"/>
  <c r="AR29" i="6" s="1"/>
  <c r="AV5" i="6" s="1"/>
  <c r="BD14" i="6" s="1"/>
  <c r="AA29" i="6"/>
  <c r="S29" i="6"/>
  <c r="W5" i="6" s="1"/>
  <c r="BE6" i="6" s="1"/>
  <c r="R29" i="6"/>
  <c r="AB28" i="6"/>
  <c r="AS28" i="6" s="1"/>
  <c r="AA28" i="6"/>
  <c r="S28" i="6"/>
  <c r="R28" i="6"/>
  <c r="AB27" i="6"/>
  <c r="AS27" i="6" s="1"/>
  <c r="AA27" i="6"/>
  <c r="S27" i="6"/>
  <c r="R27" i="6"/>
  <c r="AB26" i="6"/>
  <c r="AS26" i="6" s="1"/>
  <c r="AA26" i="6"/>
  <c r="S26" i="6"/>
  <c r="R26" i="6"/>
  <c r="AS25" i="6"/>
  <c r="AB25" i="6"/>
  <c r="AR25" i="6" s="1"/>
  <c r="AA25" i="6"/>
  <c r="S25" i="6"/>
  <c r="R25" i="6"/>
  <c r="AB24" i="6"/>
  <c r="AR24" i="6" s="1"/>
  <c r="AA24" i="6"/>
  <c r="S24" i="6"/>
  <c r="R24" i="6"/>
  <c r="AB23" i="6"/>
  <c r="AS23" i="6" s="1"/>
  <c r="AA23" i="6"/>
  <c r="S23" i="6"/>
  <c r="R23" i="6"/>
  <c r="AS22" i="6"/>
  <c r="AR22" i="6"/>
  <c r="AB22" i="6"/>
  <c r="AA22" i="6"/>
  <c r="S22" i="6"/>
  <c r="R22" i="6"/>
  <c r="AB21" i="6"/>
  <c r="AR21" i="6" s="1"/>
  <c r="AA21" i="6"/>
  <c r="S21" i="6"/>
  <c r="R21" i="6"/>
  <c r="AR20" i="6"/>
  <c r="AB20" i="6"/>
  <c r="AS20" i="6" s="1"/>
  <c r="AA20" i="6"/>
  <c r="S20" i="6"/>
  <c r="R20" i="6"/>
  <c r="AB19" i="6"/>
  <c r="AR19" i="6" s="1"/>
  <c r="AA19" i="6"/>
  <c r="S19" i="6"/>
  <c r="R19" i="6"/>
  <c r="AB18" i="6"/>
  <c r="AS18" i="6" s="1"/>
  <c r="AW3" i="6" s="1"/>
  <c r="BE12" i="6" s="1"/>
  <c r="AA18" i="6"/>
  <c r="S18" i="6"/>
  <c r="W3" i="6" s="1"/>
  <c r="BE4" i="6" s="1"/>
  <c r="R18" i="6"/>
  <c r="AS17" i="6"/>
  <c r="AB17" i="6"/>
  <c r="AR17" i="6" s="1"/>
  <c r="AA17" i="6"/>
  <c r="S17" i="6"/>
  <c r="R17" i="6"/>
  <c r="BC16" i="6"/>
  <c r="AB16" i="6"/>
  <c r="AS16" i="6" s="1"/>
  <c r="AA16" i="6"/>
  <c r="S16" i="6"/>
  <c r="R16" i="6"/>
  <c r="BC15" i="6"/>
  <c r="AB15" i="6"/>
  <c r="AS15" i="6" s="1"/>
  <c r="AA15" i="6"/>
  <c r="S15" i="6"/>
  <c r="R15" i="6"/>
  <c r="BC14" i="6"/>
  <c r="AS14" i="6"/>
  <c r="AB14" i="6"/>
  <c r="AR14" i="6" s="1"/>
  <c r="AA14" i="6"/>
  <c r="S14" i="6"/>
  <c r="R14" i="6"/>
  <c r="BC13" i="6"/>
  <c r="AB13" i="6"/>
  <c r="AS13" i="6" s="1"/>
  <c r="AA13" i="6"/>
  <c r="S13" i="6"/>
  <c r="R13" i="6"/>
  <c r="BC12" i="6"/>
  <c r="AB12" i="6"/>
  <c r="AS12" i="6" s="1"/>
  <c r="AW7" i="6" s="1"/>
  <c r="BE16" i="6" s="1"/>
  <c r="AA12" i="6"/>
  <c r="S12" i="6"/>
  <c r="R12" i="6"/>
  <c r="V7" i="6" s="1"/>
  <c r="BD8" i="6" s="1"/>
  <c r="BE11" i="6"/>
  <c r="BD11" i="6"/>
  <c r="BC11" i="6"/>
  <c r="AB11" i="6"/>
  <c r="AR11" i="6" s="1"/>
  <c r="AA11" i="6"/>
  <c r="S11" i="6"/>
  <c r="R11" i="6"/>
  <c r="AB10" i="6"/>
  <c r="AS10" i="6" s="1"/>
  <c r="AA10" i="6"/>
  <c r="S10" i="6"/>
  <c r="R10" i="6"/>
  <c r="AB9" i="6"/>
  <c r="AR9" i="6" s="1"/>
  <c r="AA9" i="6"/>
  <c r="S9" i="6"/>
  <c r="R9" i="6"/>
  <c r="BC8" i="6"/>
  <c r="AB8" i="6"/>
  <c r="AS8" i="6" s="1"/>
  <c r="AW6" i="6" s="1"/>
  <c r="BE15" i="6" s="1"/>
  <c r="AA8" i="6"/>
  <c r="S8" i="6"/>
  <c r="W6" i="6" s="1"/>
  <c r="BE7" i="6" s="1"/>
  <c r="R8" i="6"/>
  <c r="V6" i="6" s="1"/>
  <c r="BD7" i="6" s="1"/>
  <c r="BC7" i="6"/>
  <c r="AB7" i="6"/>
  <c r="AR7" i="6" s="1"/>
  <c r="AA7" i="6"/>
  <c r="W7" i="6"/>
  <c r="BE8" i="6" s="1"/>
  <c r="S7" i="6"/>
  <c r="R7" i="6"/>
  <c r="BC6" i="6"/>
  <c r="AB6" i="6"/>
  <c r="AS6" i="6" s="1"/>
  <c r="AA6" i="6"/>
  <c r="S6" i="6"/>
  <c r="R6" i="6"/>
  <c r="BC5" i="6"/>
  <c r="AB5" i="6"/>
  <c r="AR5" i="6" s="1"/>
  <c r="AA5" i="6"/>
  <c r="V5" i="6"/>
  <c r="BD6" i="6" s="1"/>
  <c r="S5" i="6"/>
  <c r="R5" i="6"/>
  <c r="BC4" i="6"/>
  <c r="AV4" i="6"/>
  <c r="BD13" i="6" s="1"/>
  <c r="AB4" i="6"/>
  <c r="AS4" i="6" s="1"/>
  <c r="AA4" i="6"/>
  <c r="S4" i="6"/>
  <c r="R4" i="6"/>
  <c r="BE3" i="6"/>
  <c r="BD3" i="6"/>
  <c r="BC3" i="6"/>
  <c r="AB3" i="6"/>
  <c r="AS3" i="6" s="1"/>
  <c r="AA3" i="6"/>
  <c r="V3" i="6"/>
  <c r="BD4" i="6" s="1"/>
  <c r="S3" i="6"/>
  <c r="R3" i="6"/>
  <c r="AB2" i="6"/>
  <c r="AA2" i="6"/>
  <c r="BE38" i="2"/>
  <c r="BE37" i="2"/>
  <c r="BE36" i="2"/>
  <c r="BE35" i="2"/>
  <c r="BE34" i="2"/>
  <c r="BE33" i="2"/>
  <c r="AB33" i="2"/>
  <c r="AR33" i="2" s="1"/>
  <c r="AA33" i="2"/>
  <c r="S33" i="2"/>
  <c r="R33" i="2"/>
  <c r="BE32" i="2"/>
  <c r="AS32" i="2"/>
  <c r="AR32" i="2"/>
  <c r="AB32" i="2"/>
  <c r="AA32" i="2"/>
  <c r="S32" i="2"/>
  <c r="R32" i="2"/>
  <c r="BE31" i="2"/>
  <c r="AS31" i="2"/>
  <c r="AR31" i="2"/>
  <c r="AB31" i="2"/>
  <c r="AA31" i="2"/>
  <c r="S31" i="2"/>
  <c r="R31" i="2"/>
  <c r="BE30" i="2"/>
  <c r="AB30" i="2"/>
  <c r="AS30" i="2" s="1"/>
  <c r="AW4" i="2" s="1"/>
  <c r="BE13" i="2" s="1"/>
  <c r="AA30" i="2"/>
  <c r="S30" i="2"/>
  <c r="R30" i="2"/>
  <c r="BE29" i="2"/>
  <c r="AB29" i="2"/>
  <c r="AS29" i="2" s="1"/>
  <c r="AW5" i="2" s="1"/>
  <c r="BE14" i="2" s="1"/>
  <c r="AA29" i="2"/>
  <c r="S29" i="2"/>
  <c r="R29" i="2"/>
  <c r="V5" i="2" s="1"/>
  <c r="BD6" i="2" s="1"/>
  <c r="AS28" i="2"/>
  <c r="AR28" i="2"/>
  <c r="AB28" i="2"/>
  <c r="AA28" i="2"/>
  <c r="S28" i="2"/>
  <c r="R28" i="2"/>
  <c r="BC27" i="2"/>
  <c r="AS27" i="2"/>
  <c r="AR27" i="2"/>
  <c r="AB27" i="2"/>
  <c r="AA27" i="2"/>
  <c r="S27" i="2"/>
  <c r="R27" i="2"/>
  <c r="AB26" i="2"/>
  <c r="AS26" i="2" s="1"/>
  <c r="AA26" i="2"/>
  <c r="S26" i="2"/>
  <c r="R26" i="2"/>
  <c r="AB25" i="2"/>
  <c r="AR25" i="2" s="1"/>
  <c r="AA25" i="2"/>
  <c r="S25" i="2"/>
  <c r="R25" i="2"/>
  <c r="AB24" i="2"/>
  <c r="AS24" i="2" s="1"/>
  <c r="AA24" i="2"/>
  <c r="S24" i="2"/>
  <c r="R24" i="2"/>
  <c r="AS23" i="2"/>
  <c r="AR23" i="2"/>
  <c r="AB23" i="2"/>
  <c r="AA23" i="2"/>
  <c r="S23" i="2"/>
  <c r="R23" i="2"/>
  <c r="AB22" i="2"/>
  <c r="AS22" i="2" s="1"/>
  <c r="AA22" i="2"/>
  <c r="S22" i="2"/>
  <c r="R22" i="2"/>
  <c r="AB21" i="2"/>
  <c r="AS21" i="2" s="1"/>
  <c r="AA21" i="2"/>
  <c r="S21" i="2"/>
  <c r="R21" i="2"/>
  <c r="AB20" i="2"/>
  <c r="AR20" i="2" s="1"/>
  <c r="AA20" i="2"/>
  <c r="S20" i="2"/>
  <c r="R20" i="2"/>
  <c r="AB19" i="2"/>
  <c r="AS19" i="2" s="1"/>
  <c r="AA19" i="2"/>
  <c r="S19" i="2"/>
  <c r="R19" i="2"/>
  <c r="BD18" i="2"/>
  <c r="AB18" i="2"/>
  <c r="AS18" i="2" s="1"/>
  <c r="AW3" i="2" s="1"/>
  <c r="BE12" i="2" s="1"/>
  <c r="AA18" i="2"/>
  <c r="S18" i="2"/>
  <c r="W3" i="2" s="1"/>
  <c r="BE4" i="2" s="1"/>
  <c r="R18" i="2"/>
  <c r="V3" i="2" s="1"/>
  <c r="BD4" i="2" s="1"/>
  <c r="AS17" i="2"/>
  <c r="AR17" i="2"/>
  <c r="AB17" i="2"/>
  <c r="AA17" i="2"/>
  <c r="S17" i="2"/>
  <c r="R17" i="2"/>
  <c r="BC16" i="2"/>
  <c r="AB16" i="2"/>
  <c r="AS16" i="2" s="1"/>
  <c r="AA16" i="2"/>
  <c r="S16" i="2"/>
  <c r="R16" i="2"/>
  <c r="BC15" i="2"/>
  <c r="AB15" i="2"/>
  <c r="AS15" i="2" s="1"/>
  <c r="AA15" i="2"/>
  <c r="S15" i="2"/>
  <c r="R15" i="2"/>
  <c r="BC14" i="2"/>
  <c r="AB14" i="2"/>
  <c r="AR14" i="2" s="1"/>
  <c r="AA14" i="2"/>
  <c r="S14" i="2"/>
  <c r="R14" i="2"/>
  <c r="BC13" i="2"/>
  <c r="AB13" i="2"/>
  <c r="AS13" i="2" s="1"/>
  <c r="AA13" i="2"/>
  <c r="S13" i="2"/>
  <c r="R13" i="2"/>
  <c r="BM12" i="2"/>
  <c r="BD27" i="2" s="1"/>
  <c r="BC12" i="2"/>
  <c r="AB12" i="2"/>
  <c r="AS12" i="2" s="1"/>
  <c r="AW7" i="2" s="1"/>
  <c r="BE16" i="2" s="1"/>
  <c r="AA12" i="2"/>
  <c r="S12" i="2"/>
  <c r="W7" i="2" s="1"/>
  <c r="BE8" i="2" s="1"/>
  <c r="R12" i="2"/>
  <c r="V7" i="2" s="1"/>
  <c r="BD8" i="2" s="1"/>
  <c r="BE11" i="2"/>
  <c r="BD11" i="2"/>
  <c r="BC11" i="2"/>
  <c r="AB11" i="2"/>
  <c r="AS11" i="2" s="1"/>
  <c r="AA11" i="2"/>
  <c r="S11" i="2"/>
  <c r="R11" i="2"/>
  <c r="AS10" i="2"/>
  <c r="AR10" i="2"/>
  <c r="AB10" i="2"/>
  <c r="AA10" i="2"/>
  <c r="S10" i="2"/>
  <c r="R10" i="2"/>
  <c r="AB9" i="2"/>
  <c r="AS9" i="2" s="1"/>
  <c r="AA9" i="2"/>
  <c r="S9" i="2"/>
  <c r="R9" i="2"/>
  <c r="BC8" i="2"/>
  <c r="AB8" i="2"/>
  <c r="AS8" i="2" s="1"/>
  <c r="AW6" i="2" s="1"/>
  <c r="BE15" i="2" s="1"/>
  <c r="AA8" i="2"/>
  <c r="S8" i="2"/>
  <c r="W6" i="2" s="1"/>
  <c r="BE7" i="2" s="1"/>
  <c r="R8" i="2"/>
  <c r="V6" i="2" s="1"/>
  <c r="BD7" i="2" s="1"/>
  <c r="BC7" i="2"/>
  <c r="AB7" i="2"/>
  <c r="AS7" i="2" s="1"/>
  <c r="AA7" i="2"/>
  <c r="S7" i="2"/>
  <c r="R7" i="2"/>
  <c r="BC6" i="2"/>
  <c r="AB6" i="2"/>
  <c r="AS6" i="2" s="1"/>
  <c r="AA6" i="2"/>
  <c r="S6" i="2"/>
  <c r="R6" i="2"/>
  <c r="BC5" i="2"/>
  <c r="AB5" i="2"/>
  <c r="AS5" i="2" s="1"/>
  <c r="AA5" i="2"/>
  <c r="W5" i="2"/>
  <c r="BE6" i="2" s="1"/>
  <c r="S5" i="2"/>
  <c r="R5" i="2"/>
  <c r="BC4" i="2"/>
  <c r="AB4" i="2"/>
  <c r="AS4" i="2" s="1"/>
  <c r="AA4" i="2"/>
  <c r="W4" i="2"/>
  <c r="BE5" i="2" s="1"/>
  <c r="V4" i="2"/>
  <c r="BD5" i="2" s="1"/>
  <c r="S4" i="2"/>
  <c r="R4" i="2"/>
  <c r="BE3" i="2"/>
  <c r="BD3" i="2"/>
  <c r="BC3" i="2"/>
  <c r="AS3" i="2"/>
  <c r="AR3" i="2"/>
  <c r="AB3" i="2"/>
  <c r="AA3" i="2"/>
  <c r="S3" i="2"/>
  <c r="R3" i="2"/>
  <c r="AB2" i="2"/>
  <c r="AA2" i="2"/>
  <c r="AR26" i="6" l="1"/>
  <c r="AR8" i="6"/>
  <c r="AV6" i="6" s="1"/>
  <c r="BD15" i="6" s="1"/>
  <c r="BH15" i="6" s="1"/>
  <c r="AR33" i="6"/>
  <c r="AR12" i="6"/>
  <c r="AV7" i="6" s="1"/>
  <c r="BD16" i="6" s="1"/>
  <c r="BH16" i="6" s="1"/>
  <c r="AS21" i="6"/>
  <c r="AR6" i="6"/>
  <c r="AR15" i="6"/>
  <c r="AS7" i="6"/>
  <c r="AR18" i="6"/>
  <c r="AV3" i="6" s="1"/>
  <c r="BD12" i="6" s="1"/>
  <c r="BF12" i="6" s="1"/>
  <c r="BG12" i="6" s="1"/>
  <c r="AS9" i="6"/>
  <c r="AR32" i="6"/>
  <c r="BF34" i="2"/>
  <c r="BG34" i="2" s="1"/>
  <c r="BF37" i="2"/>
  <c r="BG37" i="2" s="1"/>
  <c r="BF30" i="2"/>
  <c r="BG30" i="2" s="1"/>
  <c r="BF29" i="2"/>
  <c r="BG29" i="2" s="1"/>
  <c r="BH6" i="6"/>
  <c r="BF6" i="6"/>
  <c r="BF5" i="6"/>
  <c r="BH5" i="6"/>
  <c r="BH8" i="6"/>
  <c r="BF15" i="6"/>
  <c r="BF4" i="6"/>
  <c r="BH7" i="6"/>
  <c r="BF7" i="6"/>
  <c r="BH13" i="6"/>
  <c r="BF13" i="6"/>
  <c r="BH4" i="6"/>
  <c r="AS11" i="6"/>
  <c r="AS19" i="6"/>
  <c r="AS24" i="6"/>
  <c r="AS29" i="6"/>
  <c r="AW5" i="6" s="1"/>
  <c r="BE14" i="6" s="1"/>
  <c r="AR3" i="6"/>
  <c r="AR10" i="6"/>
  <c r="AR23" i="6"/>
  <c r="AR27" i="6"/>
  <c r="AR28" i="6"/>
  <c r="AR31" i="6"/>
  <c r="AR4" i="6"/>
  <c r="AS5" i="6"/>
  <c r="BF8" i="6"/>
  <c r="AR13" i="6"/>
  <c r="AR16" i="6"/>
  <c r="BF7" i="2"/>
  <c r="BH7" i="2"/>
  <c r="BH6" i="2"/>
  <c r="BF6" i="2"/>
  <c r="BH5" i="2"/>
  <c r="BF5" i="2"/>
  <c r="BH8" i="2"/>
  <c r="BF8" i="2"/>
  <c r="BH4" i="2"/>
  <c r="BF4" i="2"/>
  <c r="AR7" i="2"/>
  <c r="AR9" i="2"/>
  <c r="AR22" i="2"/>
  <c r="AR26" i="2"/>
  <c r="AR6" i="2"/>
  <c r="AS14" i="2"/>
  <c r="BF31" i="2"/>
  <c r="BG31" i="2" s="1"/>
  <c r="AS33" i="2"/>
  <c r="AR5" i="2"/>
  <c r="AR13" i="2"/>
  <c r="AR16" i="2"/>
  <c r="AR21" i="2"/>
  <c r="AR4" i="2"/>
  <c r="AS25" i="2"/>
  <c r="BF33" i="2"/>
  <c r="BG33" i="2" s="1"/>
  <c r="AR11" i="2"/>
  <c r="AR19" i="2"/>
  <c r="AS20" i="2"/>
  <c r="AR24" i="2"/>
  <c r="AR29" i="2"/>
  <c r="AV5" i="2" s="1"/>
  <c r="BD14" i="2" s="1"/>
  <c r="BH14" i="2" s="1"/>
  <c r="BF36" i="2"/>
  <c r="BG36" i="2" s="1"/>
  <c r="BC43" i="2"/>
  <c r="AR8" i="2"/>
  <c r="AV6" i="2" s="1"/>
  <c r="BD15" i="2" s="1"/>
  <c r="BH15" i="2" s="1"/>
  <c r="BI15" i="2" s="1"/>
  <c r="AR12" i="2"/>
  <c r="AV7" i="2" s="1"/>
  <c r="BD16" i="2" s="1"/>
  <c r="BH16" i="2" s="1"/>
  <c r="BI16" i="2" s="1"/>
  <c r="AR15" i="2"/>
  <c r="AR18" i="2"/>
  <c r="AV3" i="2" s="1"/>
  <c r="BD12" i="2" s="1"/>
  <c r="BF12" i="2" s="1"/>
  <c r="AR30" i="2"/>
  <c r="AV4" i="2" s="1"/>
  <c r="BD13" i="2" s="1"/>
  <c r="BF13" i="2" s="1"/>
  <c r="BG13" i="2" s="1"/>
  <c r="BM13" i="2" s="1"/>
  <c r="BF35" i="2"/>
  <c r="BG35" i="2" s="1"/>
  <c r="BF32" i="2"/>
  <c r="BG32" i="2" s="1"/>
  <c r="BF38" i="2"/>
  <c r="BG38" i="2" s="1"/>
  <c r="BH12" i="6" l="1"/>
  <c r="BI12" i="6" s="1"/>
  <c r="BG15" i="6"/>
  <c r="BI15" i="6"/>
  <c r="BG13" i="6"/>
  <c r="BM13" i="6" s="1"/>
  <c r="BI13" i="6"/>
  <c r="BF16" i="6"/>
  <c r="BG16" i="6" s="1"/>
  <c r="BF15" i="2"/>
  <c r="BH12" i="2"/>
  <c r="BI12" i="2" s="1"/>
  <c r="BI14" i="2"/>
  <c r="BI16" i="6"/>
  <c r="BH14" i="6"/>
  <c r="BI14" i="6" s="1"/>
  <c r="BF14" i="6"/>
  <c r="BG14" i="6" s="1"/>
  <c r="BM14" i="6" s="1"/>
  <c r="BM15" i="6" s="1"/>
  <c r="BF14" i="2"/>
  <c r="BH13" i="2"/>
  <c r="BI13" i="2" s="1"/>
  <c r="BF16" i="2"/>
  <c r="BM16" i="6" l="1"/>
</calcChain>
</file>

<file path=xl/sharedStrings.xml><?xml version="1.0" encoding="utf-8"?>
<sst xmlns="http://schemas.openxmlformats.org/spreadsheetml/2006/main" count="572" uniqueCount="59">
  <si>
    <t>value</t>
  </si>
  <si>
    <t>2025 (%)</t>
  </si>
  <si>
    <t>2035 (%)</t>
  </si>
  <si>
    <t>NILAI CAPSTOK</t>
  </si>
  <si>
    <t xml:space="preserve">Mencari nilai shock yang nilai investasinya (selisih B-P nya) sama dengan target </t>
  </si>
  <si>
    <t>CAPSTOK</t>
  </si>
  <si>
    <t>1 KepRi</t>
  </si>
  <si>
    <t>2 ROS</t>
  </si>
  <si>
    <t>3 ROI</t>
  </si>
  <si>
    <t>Total</t>
  </si>
  <si>
    <t>xcap(B)</t>
  </si>
  <si>
    <t>BASELINE</t>
  </si>
  <si>
    <t>xcap(P)</t>
  </si>
  <si>
    <t>POLICY</t>
  </si>
  <si>
    <t>1 Rice</t>
  </si>
  <si>
    <t>16 ElectEqp</t>
  </si>
  <si>
    <t>pertambahannya</t>
  </si>
  <si>
    <t>selisih B-P</t>
  </si>
  <si>
    <t>CAGR</t>
  </si>
  <si>
    <t>2 FoodCrops</t>
  </si>
  <si>
    <t>28 Banking</t>
  </si>
  <si>
    <t>3 OthAgr</t>
  </si>
  <si>
    <t>27 InformatTech</t>
  </si>
  <si>
    <t>4 Forestry</t>
  </si>
  <si>
    <t>6 Fishery</t>
  </si>
  <si>
    <t>5 OthPlant</t>
  </si>
  <si>
    <t>10 FoodProds</t>
  </si>
  <si>
    <t>7 Coal</t>
  </si>
  <si>
    <t>8 NatGas</t>
  </si>
  <si>
    <t>9 OthMine</t>
  </si>
  <si>
    <t>target selisih B-P</t>
  </si>
  <si>
    <t>11 EdibleOils</t>
  </si>
  <si>
    <t>12 RiceMilling</t>
  </si>
  <si>
    <t>13 PetrolRefin</t>
  </si>
  <si>
    <t>14 BasChemicals</t>
  </si>
  <si>
    <t>15 Fertilizer</t>
  </si>
  <si>
    <t>Nilai shock awal</t>
  </si>
  <si>
    <t>17 OthMan</t>
  </si>
  <si>
    <t>Nilai shock final</t>
  </si>
  <si>
    <t>18 ElecGas</t>
  </si>
  <si>
    <t>19 OthUtil</t>
  </si>
  <si>
    <t>20 Construction</t>
  </si>
  <si>
    <t>21 Trade</t>
  </si>
  <si>
    <t>22 LandRailTr</t>
  </si>
  <si>
    <t>23 SeaRiverTr</t>
  </si>
  <si>
    <t>24 AirTransport</t>
  </si>
  <si>
    <t>25 OthTrans</t>
  </si>
  <si>
    <t>26 Telecommunic</t>
  </si>
  <si>
    <t xml:space="preserve">Nilai shock </t>
  </si>
  <si>
    <t>pertambahan investasi</t>
  </si>
  <si>
    <t>29 RealEstate</t>
  </si>
  <si>
    <t>30 OthServices</t>
  </si>
  <si>
    <t>INFILE - Base Rerun - 2016</t>
  </si>
  <si>
    <t>Nilainya sama dengan tabel yang di A2</t>
  </si>
  <si>
    <t>ViewSOL - Pol Cum P</t>
  </si>
  <si>
    <t>ViewSOL - Base Cum B</t>
  </si>
  <si>
    <t>nilai ElectEqp</t>
  </si>
  <si>
    <t>Target Xcap untuk sektor lain</t>
  </si>
  <si>
    <t>nilai shock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</si>
</sst>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_);_(* \(#,##0.000\);_(* &quot;-&quot;??_);_(@_)"/>
    <numFmt numFmtId="165" formatCode="#,##0.0000"/>
    <numFmt numFmtId="166" formatCode="0.0000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</cellStyleXfs>
  <cellXfs count="64">
    <xf numFmtId="0" fontId="0" fillId="0" borderId="0" xfId="0"/>
    <xf numFmtId="0" fontId="9" fillId="5" borderId="0" xfId="0" applyFont="1" applyFill="1"/>
    <xf numFmtId="0" fontId="2" fillId="2" borderId="0" xfId="2"/>
    <xf numFmtId="0" fontId="7" fillId="0" borderId="0" xfId="0" applyFont="1"/>
    <xf numFmtId="0" fontId="0" fillId="6" borderId="0" xfId="0" applyFill="1"/>
    <xf numFmtId="0" fontId="7" fillId="5" borderId="0" xfId="0" applyFont="1" applyFill="1"/>
    <xf numFmtId="4" fontId="0" fillId="0" borderId="0" xfId="0" applyNumberFormat="1"/>
    <xf numFmtId="4" fontId="0" fillId="6" borderId="0" xfId="0" applyNumberFormat="1" applyFill="1"/>
    <xf numFmtId="0" fontId="7" fillId="0" borderId="2" xfId="0" applyFont="1" applyBorder="1"/>
    <xf numFmtId="0" fontId="7" fillId="0" borderId="3" xfId="0" applyFont="1" applyBorder="1"/>
    <xf numFmtId="0" fontId="0" fillId="0" borderId="3" xfId="0" applyBorder="1"/>
    <xf numFmtId="0" fontId="0" fillId="0" borderId="4" xfId="0" applyBorder="1"/>
    <xf numFmtId="4" fontId="0" fillId="0" borderId="5" xfId="0" applyNumberFormat="1" applyBorder="1"/>
    <xf numFmtId="43" fontId="0" fillId="0" borderId="0" xfId="1" applyFont="1" applyBorder="1"/>
    <xf numFmtId="43" fontId="0" fillId="0" borderId="0" xfId="0" applyNumberFormat="1"/>
    <xf numFmtId="4" fontId="0" fillId="0" borderId="0" xfId="1" applyNumberFormat="1" applyFont="1" applyBorder="1"/>
    <xf numFmtId="0" fontId="0" fillId="0" borderId="6" xfId="0" applyBorder="1"/>
    <xf numFmtId="4" fontId="0" fillId="0" borderId="7" xfId="0" applyNumberFormat="1" applyBorder="1"/>
    <xf numFmtId="43" fontId="0" fillId="0" borderId="8" xfId="1" applyFont="1" applyBorder="1"/>
    <xf numFmtId="43" fontId="0" fillId="0" borderId="8" xfId="0" applyNumberFormat="1" applyBorder="1"/>
    <xf numFmtId="0" fontId="0" fillId="0" borderId="8" xfId="0" applyBorder="1"/>
    <xf numFmtId="4" fontId="0" fillId="0" borderId="8" xfId="1" applyNumberFormat="1" applyFont="1" applyBorder="1"/>
    <xf numFmtId="0" fontId="0" fillId="0" borderId="9" xfId="0" applyBorder="1"/>
    <xf numFmtId="0" fontId="7" fillId="0" borderId="4" xfId="0" applyFont="1" applyBorder="1"/>
    <xf numFmtId="0" fontId="9" fillId="5" borderId="10" xfId="0" applyFont="1" applyFill="1" applyBorder="1"/>
    <xf numFmtId="0" fontId="4" fillId="0" borderId="0" xfId="4" applyFill="1" applyBorder="1"/>
    <xf numFmtId="43" fontId="6" fillId="0" borderId="6" xfId="1" applyFont="1" applyFill="1" applyBorder="1"/>
    <xf numFmtId="4" fontId="9" fillId="5" borderId="11" xfId="0" applyNumberFormat="1" applyFont="1" applyFill="1" applyBorder="1"/>
    <xf numFmtId="43" fontId="0" fillId="5" borderId="0" xfId="0" applyNumberFormat="1" applyFill="1"/>
    <xf numFmtId="43" fontId="6" fillId="0" borderId="9" xfId="1" applyFont="1" applyFill="1" applyBorder="1"/>
    <xf numFmtId="43" fontId="0" fillId="0" borderId="0" xfId="1" applyFont="1"/>
    <xf numFmtId="0" fontId="3" fillId="3" borderId="0" xfId="3"/>
    <xf numFmtId="164" fontId="3" fillId="3" borderId="0" xfId="1" applyNumberFormat="1" applyFont="1" applyFill="1"/>
    <xf numFmtId="0" fontId="10" fillId="2" borderId="0" xfId="2" applyFont="1"/>
    <xf numFmtId="164" fontId="10" fillId="2" borderId="0" xfId="2" applyNumberFormat="1" applyFont="1"/>
    <xf numFmtId="165" fontId="0" fillId="0" borderId="0" xfId="0" applyNumberFormat="1"/>
    <xf numFmtId="165" fontId="2" fillId="2" borderId="0" xfId="2" applyNumberFormat="1"/>
    <xf numFmtId="4" fontId="2" fillId="2" borderId="0" xfId="2" applyNumberFormat="1"/>
    <xf numFmtId="0" fontId="11" fillId="0" borderId="0" xfId="0" applyFont="1"/>
    <xf numFmtId="166" fontId="0" fillId="0" borderId="0" xfId="0" applyNumberFormat="1"/>
    <xf numFmtId="0" fontId="7" fillId="7" borderId="0" xfId="0" applyFont="1" applyFill="1"/>
    <xf numFmtId="4" fontId="0" fillId="7" borderId="0" xfId="0" applyNumberFormat="1" applyFill="1"/>
    <xf numFmtId="0" fontId="7" fillId="8" borderId="0" xfId="0" applyFont="1" applyFill="1"/>
    <xf numFmtId="4" fontId="0" fillId="8" borderId="0" xfId="0" applyNumberFormat="1" applyFill="1"/>
    <xf numFmtId="0" fontId="0" fillId="8" borderId="0" xfId="0" applyFill="1"/>
    <xf numFmtId="0" fontId="5" fillId="9" borderId="0" xfId="0" applyFont="1" applyFill="1"/>
    <xf numFmtId="4" fontId="8" fillId="9" borderId="0" xfId="0" applyNumberFormat="1" applyFont="1" applyFill="1"/>
    <xf numFmtId="0" fontId="0" fillId="7" borderId="0" xfId="0" applyFill="1"/>
    <xf numFmtId="43" fontId="0" fillId="5" borderId="8" xfId="0" applyNumberFormat="1" applyFill="1" applyBorder="1"/>
    <xf numFmtId="0" fontId="7" fillId="10" borderId="0" xfId="0" applyFont="1" applyFill="1"/>
    <xf numFmtId="4" fontId="0" fillId="10" borderId="0" xfId="0" applyNumberFormat="1" applyFill="1"/>
    <xf numFmtId="0" fontId="0" fillId="10" borderId="0" xfId="0" applyFill="1"/>
    <xf numFmtId="0" fontId="0" fillId="0" borderId="2" xfId="0" applyBorder="1"/>
    <xf numFmtId="0" fontId="7" fillId="0" borderId="3" xfId="0" applyFont="1" applyBorder="1" applyAlignment="1">
      <alignment horizontal="center"/>
    </xf>
    <xf numFmtId="167" fontId="0" fillId="0" borderId="0" xfId="1" applyNumberFormat="1" applyFont="1" applyBorder="1"/>
    <xf numFmtId="167" fontId="0" fillId="0" borderId="0" xfId="0" applyNumberFormat="1"/>
    <xf numFmtId="167" fontId="0" fillId="0" borderId="8" xfId="0" applyNumberFormat="1" applyBorder="1"/>
    <xf numFmtId="43" fontId="0" fillId="0" borderId="6" xfId="1" applyFont="1" applyBorder="1"/>
    <xf numFmtId="43" fontId="7" fillId="0" borderId="3" xfId="1" applyFont="1" applyBorder="1" applyAlignment="1">
      <alignment horizontal="center"/>
    </xf>
    <xf numFmtId="0" fontId="0" fillId="0" borderId="5" xfId="0" applyBorder="1"/>
    <xf numFmtId="167" fontId="0" fillId="7" borderId="0" xfId="0" applyNumberFormat="1" applyFill="1"/>
    <xf numFmtId="0" fontId="0" fillId="0" borderId="7" xfId="0" applyBorder="1"/>
    <xf numFmtId="167" fontId="0" fillId="7" borderId="8" xfId="0" applyNumberFormat="1" applyFill="1" applyBorder="1"/>
    <xf numFmtId="0" fontId="7" fillId="0" borderId="0" xfId="0" applyFont="1" applyAlignment="1">
      <alignment horizontal="center"/>
    </xf>
  </cellXfs>
  <cellStyles count="5">
    <cellStyle name="Bad" xfId="3" builtinId="27"/>
    <cellStyle name="Comma" xfId="1" builtinId="3"/>
    <cellStyle name="Good" xfId="2" builtinId="26"/>
    <cellStyle name="Input" xfId="4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909099221040286E-2"/>
                  <c:y val="0.52380952380952384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Banking!$BD$30:$BD$31</c:f>
              <c:numCache>
                <c:formatCode>#,##0.00</c:formatCode>
                <c:ptCount val="2"/>
                <c:pt idx="0">
                  <c:v>128315.65353009175</c:v>
                </c:pt>
                <c:pt idx="1">
                  <c:v>141236.71402383619</c:v>
                </c:pt>
              </c:numCache>
            </c:numRef>
          </c:xVal>
          <c:yVal>
            <c:numRef>
              <c:f>Banking!$BE$30:$BE$31</c:f>
              <c:numCache>
                <c:formatCode>General</c:formatCode>
                <c:ptCount val="2"/>
                <c:pt idx="0">
                  <c:v>38.359499999999997</c:v>
                </c:pt>
                <c:pt idx="1">
                  <c:v>39.966200000000001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7F-478C-9F4A-D507119AD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336816"/>
        <c:axId val="1149337296"/>
      </c:scatterChart>
      <c:valAx>
        <c:axId val="114933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337296"/>
        <c:crosses val="autoZero"/>
        <c:crossBetween val="midCat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14933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33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403410</xdr:colOff>
      <xdr:row>28</xdr:row>
      <xdr:rowOff>36606</xdr:rowOff>
    </xdr:from>
    <xdr:to>
      <xdr:col>67</xdr:col>
      <xdr:colOff>590175</xdr:colOff>
      <xdr:row>45</xdr:row>
      <xdr:rowOff>149412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5E1A7-DE36-41D0-975E-7ABEEFFF8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KDB\Dropbox\E\WORK\CEDS\CGE%20Kepri%202025\perhitungan%20shock.xlsx" TargetMode="External"/><Relationship Id="rId1" Type="http://schemas.openxmlformats.org/officeDocument/2006/relationships/externalLinkPath" Target="/AKDB/Dropbox/E/WORK/CEDS/CGE%20Kepri%202025/perhitungan%20sho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line_ElectEqp_2035"/>
      <sheetName val="policy_ElectEqp_2035"/>
      <sheetName val="rekap_2035"/>
      <sheetName val="Banking_2035"/>
      <sheetName val="InfoTech_2035"/>
      <sheetName val="InfoTech2_2035"/>
      <sheetName val="fishery_2035"/>
      <sheetName val="foodprod_2035"/>
      <sheetName val="fish&amp;food_2035"/>
      <sheetName val="trendline"/>
    </sheetNames>
    <sheetDataSet>
      <sheetData sheetId="0">
        <row r="3">
          <cell r="U3" t="str">
            <v>16 ElectEqp</v>
          </cell>
          <cell r="V3">
            <v>97973.557772325788</v>
          </cell>
          <cell r="W3">
            <v>173433.54294033311</v>
          </cell>
        </row>
        <row r="4">
          <cell r="U4" t="str">
            <v>28 Banking</v>
          </cell>
          <cell r="V4">
            <v>14887.04194489512</v>
          </cell>
          <cell r="W4">
            <v>26623.863457921077</v>
          </cell>
        </row>
        <row r="5">
          <cell r="U5" t="str">
            <v>27 InformatTech</v>
          </cell>
          <cell r="V5">
            <v>5360.92394900012</v>
          </cell>
          <cell r="W5">
            <v>9431.9059652761625</v>
          </cell>
        </row>
        <row r="6">
          <cell r="U6" t="str">
            <v>6 Fishery</v>
          </cell>
          <cell r="V6">
            <v>17374.333117632181</v>
          </cell>
          <cell r="W6">
            <v>23911.133161280126</v>
          </cell>
        </row>
        <row r="7">
          <cell r="U7" t="str">
            <v>10 FoodProds</v>
          </cell>
          <cell r="V7">
            <v>41763.308316250695</v>
          </cell>
          <cell r="W7">
            <v>53891.854044667336</v>
          </cell>
        </row>
      </sheetData>
      <sheetData sheetId="1">
        <row r="3">
          <cell r="U3" t="str">
            <v>16 ElectEqp</v>
          </cell>
          <cell r="V3">
            <v>97973.557772325788</v>
          </cell>
          <cell r="W3">
            <v>314681.19789653452</v>
          </cell>
        </row>
        <row r="4">
          <cell r="U4" t="str">
            <v>28 Banking</v>
          </cell>
          <cell r="V4">
            <v>14887.04194489512</v>
          </cell>
          <cell r="W4">
            <v>26623.365355805116</v>
          </cell>
        </row>
        <row r="5">
          <cell r="U5" t="str">
            <v>27 InformatTech</v>
          </cell>
          <cell r="V5">
            <v>5360.92394900012</v>
          </cell>
          <cell r="W5">
            <v>9431.8002255873616</v>
          </cell>
        </row>
        <row r="6">
          <cell r="U6" t="str">
            <v>6 Fishery</v>
          </cell>
          <cell r="V6">
            <v>17374.333117632181</v>
          </cell>
          <cell r="W6">
            <v>23910.513559953419</v>
          </cell>
        </row>
        <row r="7">
          <cell r="U7" t="str">
            <v>10 FoodProds</v>
          </cell>
          <cell r="V7">
            <v>41763.308316250695</v>
          </cell>
          <cell r="W7">
            <v>53891.303313030628</v>
          </cell>
        </row>
      </sheetData>
      <sheetData sheetId="2">
        <row r="12">
          <cell r="G12">
            <v>141247.65495620141</v>
          </cell>
        </row>
        <row r="20">
          <cell r="J20">
            <v>31.645838452705227</v>
          </cell>
        </row>
      </sheetData>
      <sheetData sheetId="3">
        <row r="30">
          <cell r="BD30">
            <v>128315.65353009175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5A5D-A495-41E2-8A2A-E98F598C76D4}">
  <dimension ref="C2:K24"/>
  <sheetViews>
    <sheetView workbookViewId="0">
      <selection activeCell="J20" sqref="J20"/>
    </sheetView>
  </sheetViews>
  <sheetFormatPr defaultRowHeight="14.5" x14ac:dyDescent="0.35"/>
  <cols>
    <col min="3" max="3" width="25.7265625" bestFit="1" customWidth="1"/>
    <col min="4" max="4" width="10.08984375" bestFit="1" customWidth="1"/>
    <col min="5" max="5" width="11.08984375" bestFit="1" customWidth="1"/>
    <col min="6" max="6" width="15.36328125" bestFit="1" customWidth="1"/>
    <col min="7" max="7" width="11.08984375" bestFit="1" customWidth="1"/>
    <col min="8" max="8" width="5.453125" bestFit="1" customWidth="1"/>
    <col min="9" max="9" width="5.6328125" bestFit="1" customWidth="1"/>
    <col min="10" max="10" width="16.08984375" bestFit="1" customWidth="1"/>
    <col min="11" max="11" width="5.6328125" bestFit="1" customWidth="1"/>
  </cols>
  <sheetData>
    <row r="2" spans="3:11" x14ac:dyDescent="0.35">
      <c r="C2" s="3" t="s">
        <v>11</v>
      </c>
    </row>
    <row r="3" spans="3:11" x14ac:dyDescent="0.35">
      <c r="C3" s="52"/>
      <c r="D3" s="53">
        <v>2025</v>
      </c>
      <c r="E3" s="53">
        <v>2035</v>
      </c>
      <c r="F3" s="53" t="s">
        <v>16</v>
      </c>
      <c r="G3" s="53" t="s">
        <v>17</v>
      </c>
      <c r="H3" s="53" t="s">
        <v>18</v>
      </c>
      <c r="I3" s="10"/>
      <c r="J3" s="10"/>
      <c r="K3" s="11"/>
    </row>
    <row r="4" spans="3:11" x14ac:dyDescent="0.35">
      <c r="C4" s="12" t="str">
        <f>[1]baseline_ElectEqp_2035!U3</f>
        <v>16 ElectEqp</v>
      </c>
      <c r="D4" s="54">
        <f>[1]baseline_ElectEqp_2035!V3</f>
        <v>97973.557772325788</v>
      </c>
      <c r="E4" s="54">
        <f>[1]baseline_ElectEqp_2035!W3</f>
        <v>173433.54294033311</v>
      </c>
      <c r="F4" s="14">
        <f>E4-D4</f>
        <v>75459.985168007319</v>
      </c>
      <c r="H4" s="15">
        <f>(((E4/D4)^(1/($E$3-$D$3)))-1)*100</f>
        <v>5.8771936971079075</v>
      </c>
      <c r="K4" s="16"/>
    </row>
    <row r="5" spans="3:11" x14ac:dyDescent="0.35">
      <c r="C5" s="12" t="str">
        <f>[1]baseline_ElectEqp_2035!U4</f>
        <v>28 Banking</v>
      </c>
      <c r="D5" s="54">
        <f>[1]baseline_ElectEqp_2035!V4</f>
        <v>14887.04194489512</v>
      </c>
      <c r="E5" s="54">
        <f>[1]baseline_ElectEqp_2035!W4</f>
        <v>26623.863457921077</v>
      </c>
      <c r="H5" s="15">
        <f t="shared" ref="H5:H8" si="0">(((E5/D5)^(1/($E$3-$D$3)))-1)*100</f>
        <v>5.9854544952109956</v>
      </c>
      <c r="K5" s="16"/>
    </row>
    <row r="6" spans="3:11" x14ac:dyDescent="0.35">
      <c r="C6" s="12" t="str">
        <f>[1]baseline_ElectEqp_2035!U5</f>
        <v>27 InformatTech</v>
      </c>
      <c r="D6" s="55">
        <f>[1]baseline_ElectEqp_2035!V5</f>
        <v>5360.92394900012</v>
      </c>
      <c r="E6" s="55">
        <f>[1]baseline_ElectEqp_2035!W5</f>
        <v>9431.9059652761625</v>
      </c>
      <c r="H6" s="15">
        <f t="shared" si="0"/>
        <v>5.8122578547859627</v>
      </c>
      <c r="K6" s="16"/>
    </row>
    <row r="7" spans="3:11" x14ac:dyDescent="0.35">
      <c r="C7" s="12" t="str">
        <f>[1]baseline_ElectEqp_2035!U6</f>
        <v>6 Fishery</v>
      </c>
      <c r="D7" s="55">
        <f>[1]baseline_ElectEqp_2035!V6</f>
        <v>17374.333117632181</v>
      </c>
      <c r="E7" s="55">
        <f>[1]baseline_ElectEqp_2035!W6</f>
        <v>23911.133161280126</v>
      </c>
      <c r="H7" s="15">
        <f t="shared" si="0"/>
        <v>3.2450410793845474</v>
      </c>
      <c r="K7" s="16"/>
    </row>
    <row r="8" spans="3:11" x14ac:dyDescent="0.35">
      <c r="C8" s="17" t="str">
        <f>[1]baseline_ElectEqp_2035!U7</f>
        <v>10 FoodProds</v>
      </c>
      <c r="D8" s="56">
        <f>[1]baseline_ElectEqp_2035!V7</f>
        <v>41763.308316250695</v>
      </c>
      <c r="E8" s="56">
        <f>[1]baseline_ElectEqp_2035!W7</f>
        <v>53891.854044667336</v>
      </c>
      <c r="F8" s="20"/>
      <c r="G8" s="20"/>
      <c r="H8" s="21">
        <f t="shared" si="0"/>
        <v>2.5823923299027385</v>
      </c>
      <c r="I8" s="20"/>
      <c r="J8" s="20"/>
      <c r="K8" s="22"/>
    </row>
    <row r="10" spans="3:11" x14ac:dyDescent="0.35">
      <c r="C10" s="3" t="s">
        <v>13</v>
      </c>
    </row>
    <row r="11" spans="3:11" x14ac:dyDescent="0.35">
      <c r="C11" s="52"/>
      <c r="D11" s="53">
        <f t="shared" ref="D11:E11" si="1">D3</f>
        <v>2025</v>
      </c>
      <c r="E11" s="53">
        <f t="shared" si="1"/>
        <v>2035</v>
      </c>
      <c r="F11" s="53" t="s">
        <v>16</v>
      </c>
      <c r="G11" s="53" t="s">
        <v>17</v>
      </c>
      <c r="H11" s="53"/>
      <c r="I11" s="53"/>
      <c r="J11" s="53" t="s">
        <v>56</v>
      </c>
      <c r="K11" s="11"/>
    </row>
    <row r="12" spans="3:11" x14ac:dyDescent="0.35">
      <c r="C12" s="12" t="str">
        <f>[1]policy_ElectEqp_2035!U3</f>
        <v>16 ElectEqp</v>
      </c>
      <c r="D12" s="13">
        <f>[1]policy_ElectEqp_2035!V3</f>
        <v>97973.557772325788</v>
      </c>
      <c r="E12" s="13">
        <f>[1]policy_ElectEqp_2035!W3</f>
        <v>314681.19789653452</v>
      </c>
      <c r="F12" s="14">
        <f>E12-D12</f>
        <v>216707.64012420873</v>
      </c>
      <c r="G12" s="14">
        <f>F12-F4</f>
        <v>141247.65495620141</v>
      </c>
      <c r="H12" s="15">
        <f>(((E12/D12)^(1/($E$3-$D$3)))-1)*100</f>
        <v>12.376678496294137</v>
      </c>
      <c r="I12" s="13">
        <f>H12/H4</f>
        <v>2.1058823537472557</v>
      </c>
      <c r="J12" s="31">
        <v>14.55</v>
      </c>
      <c r="K12" s="57">
        <f>J12/I12</f>
        <v>6.9092178744502961</v>
      </c>
    </row>
    <row r="13" spans="3:11" x14ac:dyDescent="0.35">
      <c r="C13" s="12" t="str">
        <f>[1]policy_ElectEqp_2035!U4</f>
        <v>28 Banking</v>
      </c>
      <c r="D13" s="13">
        <f>[1]policy_ElectEqp_2035!V4</f>
        <v>14887.04194489512</v>
      </c>
      <c r="E13" s="13">
        <f>[1]policy_ElectEqp_2035!W4</f>
        <v>26623.365355805116</v>
      </c>
      <c r="H13" s="15">
        <f>(((E13/D13)^(1/($E$3-$D$3)))-1)*100</f>
        <v>5.9852562068458015</v>
      </c>
      <c r="I13" s="13"/>
      <c r="K13" s="16"/>
    </row>
    <row r="14" spans="3:11" x14ac:dyDescent="0.35">
      <c r="C14" s="12" t="str">
        <f>[1]policy_ElectEqp_2035!U5</f>
        <v>27 InformatTech</v>
      </c>
      <c r="D14" s="13">
        <f>[1]policy_ElectEqp_2035!V5</f>
        <v>5360.92394900012</v>
      </c>
      <c r="E14" s="13">
        <f>[1]policy_ElectEqp_2035!W5</f>
        <v>9431.8002255873616</v>
      </c>
      <c r="H14" s="15">
        <f>(((E14/D14)^(1/($E$3-$D$3)))-1)*100</f>
        <v>5.8121392296458962</v>
      </c>
      <c r="I14" s="13"/>
      <c r="K14" s="16"/>
    </row>
    <row r="15" spans="3:11" x14ac:dyDescent="0.35">
      <c r="C15" s="12" t="str">
        <f>[1]policy_ElectEqp_2035!U6</f>
        <v>6 Fishery</v>
      </c>
      <c r="D15" s="13">
        <f>[1]policy_ElectEqp_2035!V6</f>
        <v>17374.333117632181</v>
      </c>
      <c r="E15" s="13">
        <f>[1]policy_ElectEqp_2035!W6</f>
        <v>23910.513559953419</v>
      </c>
      <c r="H15" s="15">
        <f>(((E15/D15)^(1/($E$3-$D$3)))-1)*100</f>
        <v>3.2447735407867384</v>
      </c>
      <c r="I15" s="13"/>
      <c r="K15" s="16"/>
    </row>
    <row r="16" spans="3:11" x14ac:dyDescent="0.35">
      <c r="C16" s="17" t="str">
        <f>[1]policy_ElectEqp_2035!U7</f>
        <v>10 FoodProds</v>
      </c>
      <c r="D16" s="18">
        <f>[1]policy_ElectEqp_2035!V7</f>
        <v>41763.308316250695</v>
      </c>
      <c r="E16" s="18">
        <f>[1]policy_ElectEqp_2035!W7</f>
        <v>53891.303313030628</v>
      </c>
      <c r="F16" s="20"/>
      <c r="G16" s="20"/>
      <c r="H16" s="21">
        <f>(((E16/D16)^(1/($E$3-$D$3)))-1)*100</f>
        <v>2.5822874984219313</v>
      </c>
      <c r="I16" s="18"/>
      <c r="J16" s="20"/>
      <c r="K16" s="22"/>
    </row>
    <row r="17" spans="3:11" x14ac:dyDescent="0.35">
      <c r="D17" s="30"/>
      <c r="E17" s="30"/>
      <c r="H17" s="15"/>
      <c r="I17" s="30"/>
    </row>
    <row r="18" spans="3:11" x14ac:dyDescent="0.35">
      <c r="C18" s="3" t="s">
        <v>57</v>
      </c>
      <c r="I18" s="30"/>
    </row>
    <row r="19" spans="3:11" x14ac:dyDescent="0.35">
      <c r="C19" s="52"/>
      <c r="D19" s="53">
        <f t="shared" ref="D19:E19" si="2">D11</f>
        <v>2025</v>
      </c>
      <c r="E19" s="53">
        <f t="shared" si="2"/>
        <v>2035</v>
      </c>
      <c r="F19" s="53" t="s">
        <v>16</v>
      </c>
      <c r="G19" s="53" t="s">
        <v>17</v>
      </c>
      <c r="H19" s="53"/>
      <c r="I19" s="58"/>
      <c r="J19" s="53" t="s">
        <v>58</v>
      </c>
      <c r="K19" s="11"/>
    </row>
    <row r="20" spans="3:11" x14ac:dyDescent="0.35">
      <c r="C20" s="59" t="str">
        <f>C13</f>
        <v>28 Banking</v>
      </c>
      <c r="D20" s="14">
        <f>D13</f>
        <v>14887.04194489512</v>
      </c>
      <c r="E20" s="14">
        <f>E13+$G$12</f>
        <v>167871.02031200653</v>
      </c>
      <c r="H20" s="15">
        <f>(((E20/D20)^(1/($E$3-$D$3)))-1)*100</f>
        <v>27.413877295765985</v>
      </c>
      <c r="I20" s="13">
        <f>H20/H13</f>
        <v>4.5802345544390581</v>
      </c>
      <c r="J20" s="60">
        <f>I20*$K$12</f>
        <v>31.645838452705227</v>
      </c>
      <c r="K20" s="16"/>
    </row>
    <row r="21" spans="3:11" x14ac:dyDescent="0.35">
      <c r="C21" s="59" t="str">
        <f>C14</f>
        <v>27 InformatTech</v>
      </c>
      <c r="D21" s="14">
        <f>D14</f>
        <v>5360.92394900012</v>
      </c>
      <c r="E21" s="14">
        <f>E14+$G$12</f>
        <v>150679.45518178877</v>
      </c>
      <c r="H21" s="15">
        <f>(((E21/D21)^(1/($E$3-$D$3)))-1)*100</f>
        <v>39.598721059249065</v>
      </c>
      <c r="I21" s="13">
        <f>H21/H14</f>
        <v>6.8131060689786009</v>
      </c>
      <c r="J21" s="60">
        <f>I21*$K$12</f>
        <v>47.073234232312743</v>
      </c>
      <c r="K21" s="16"/>
    </row>
    <row r="22" spans="3:11" x14ac:dyDescent="0.35">
      <c r="C22" s="59" t="str">
        <f t="shared" ref="C22:C23" si="3">C15</f>
        <v>6 Fishery</v>
      </c>
      <c r="D22" s="14">
        <f>D15</f>
        <v>17374.333117632181</v>
      </c>
      <c r="E22" s="14">
        <f>E15+$G$12</f>
        <v>165158.16851615484</v>
      </c>
      <c r="H22" s="15">
        <f>(((E22/D22)^(1/($E$3-$D$3)))-1)*100</f>
        <v>25.256188292487035</v>
      </c>
      <c r="I22" s="13">
        <f>H22/H15</f>
        <v>7.7836520715597732</v>
      </c>
      <c r="J22" s="60">
        <f>I22*$K$12</f>
        <v>53.778948021322861</v>
      </c>
      <c r="K22" s="16"/>
    </row>
    <row r="23" spans="3:11" x14ac:dyDescent="0.35">
      <c r="C23" s="61" t="str">
        <f t="shared" si="3"/>
        <v>10 FoodProds</v>
      </c>
      <c r="D23" s="19">
        <f>D16</f>
        <v>41763.308316250695</v>
      </c>
      <c r="E23" s="19">
        <f>E16+$G$12</f>
        <v>195138.95826923204</v>
      </c>
      <c r="F23" s="20"/>
      <c r="G23" s="20"/>
      <c r="H23" s="21">
        <f>(((E23/D23)^(1/($E$3-$D$3)))-1)*100</f>
        <v>16.668847775610729</v>
      </c>
      <c r="I23" s="18">
        <f>H23/H16</f>
        <v>6.4550704698052694</v>
      </c>
      <c r="J23" s="62">
        <f>I23*$K$12</f>
        <v>44.599488270814838</v>
      </c>
      <c r="K23" s="22"/>
    </row>
    <row r="24" spans="3:11" x14ac:dyDescent="0.35">
      <c r="E24" s="14"/>
      <c r="H24" s="15"/>
      <c r="I24" s="30"/>
      <c r="J24" s="5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BE47-2ACE-4DD6-B93B-0D3B8E6F91E9}">
  <dimension ref="A1:BM44"/>
  <sheetViews>
    <sheetView tabSelected="1" zoomScale="85" zoomScaleNormal="85" workbookViewId="0">
      <selection activeCell="A3" sqref="A3"/>
    </sheetView>
  </sheetViews>
  <sheetFormatPr defaultRowHeight="14.5" outlineLevelCol="2" x14ac:dyDescent="0.35"/>
  <cols>
    <col min="1" max="1" width="23.36328125" bestFit="1" customWidth="1" outlineLevel="1"/>
    <col min="2" max="2" width="10.54296875" customWidth="1" outlineLevel="1"/>
    <col min="3" max="3" width="12.1796875" customWidth="1" outlineLevel="2"/>
    <col min="4" max="5" width="13.26953125" customWidth="1" outlineLevel="2"/>
    <col min="6" max="6" width="10.1796875" customWidth="1" outlineLevel="1"/>
    <col min="7" max="7" width="20.90625" customWidth="1" outlineLevel="1"/>
    <col min="8" max="8" width="8.453125" customWidth="1" outlineLevel="1"/>
    <col min="9" max="9" width="6" customWidth="1" outlineLevel="1"/>
    <col min="10" max="10" width="5.7265625" customWidth="1" outlineLevel="1"/>
    <col min="11" max="11" width="1.90625" customWidth="1"/>
    <col min="12" max="12" width="20.90625" bestFit="1" customWidth="1"/>
    <col min="13" max="13" width="8.453125" bestFit="1" customWidth="1"/>
    <col min="14" max="15" width="6.81640625" customWidth="1" outlineLevel="1"/>
    <col min="16" max="16" width="5" customWidth="1" outlineLevel="1" collapsed="1"/>
    <col min="17" max="17" width="15.453125" customWidth="1" outlineLevel="1"/>
    <col min="18" max="19" width="10.54296875" customWidth="1" outlineLevel="1"/>
    <col min="20" max="20" width="15.453125" customWidth="1" outlineLevel="1"/>
    <col min="21" max="21" width="14.81640625" customWidth="1" outlineLevel="1"/>
    <col min="22" max="22" width="9.54296875" customWidth="1" outlineLevel="1"/>
    <col min="23" max="23" width="10.54296875" customWidth="1" outlineLevel="1"/>
    <col min="24" max="25" width="8.7265625" customWidth="1" outlineLevel="1"/>
    <col min="26" max="26" width="2.08984375" customWidth="1"/>
    <col min="27" max="27" width="23.36328125" customWidth="1" outlineLevel="1"/>
    <col min="28" max="28" width="10.54296875" customWidth="1" outlineLevel="1"/>
    <col min="29" max="29" width="12.1796875" customWidth="1" outlineLevel="2"/>
    <col min="30" max="31" width="13.26953125" customWidth="1" outlineLevel="2"/>
    <col min="32" max="32" width="10.1796875" customWidth="1" outlineLevel="1"/>
    <col min="33" max="33" width="18.81640625" customWidth="1" outlineLevel="1"/>
    <col min="34" max="34" width="8.453125" customWidth="1" outlineLevel="1"/>
    <col min="35" max="35" width="6" customWidth="1" outlineLevel="1"/>
    <col min="36" max="36" width="5.7265625" customWidth="1" outlineLevel="1"/>
    <col min="37" max="37" width="1.6328125" customWidth="1"/>
    <col min="38" max="38" width="18.81640625" bestFit="1" customWidth="1"/>
    <col min="39" max="39" width="8.453125" bestFit="1" customWidth="1"/>
    <col min="40" max="41" width="8.453125" customWidth="1" outlineLevel="1"/>
    <col min="42" max="42" width="3.26953125" customWidth="1" outlineLevel="1" collapsed="1"/>
    <col min="43" max="43" width="15.453125" customWidth="1" outlineLevel="1"/>
    <col min="44" max="44" width="10.54296875" customWidth="1" outlineLevel="1"/>
    <col min="45" max="45" width="12.1796875" customWidth="1" outlineLevel="1"/>
    <col min="46" max="46" width="15.453125" customWidth="1" outlineLevel="1"/>
    <col min="47" max="47" width="14.81640625" customWidth="1" outlineLevel="1"/>
    <col min="48" max="48" width="9.54296875" customWidth="1" outlineLevel="1"/>
    <col min="49" max="49" width="12.1796875" customWidth="1" outlineLevel="1"/>
    <col min="50" max="51" width="8.7265625" customWidth="1" outlineLevel="1"/>
    <col min="52" max="52" width="2.453125" customWidth="1"/>
    <col min="53" max="54" width="3" customWidth="1"/>
    <col min="55" max="55" width="25.90625" bestFit="1" customWidth="1"/>
    <col min="56" max="56" width="20" bestFit="1" customWidth="1"/>
    <col min="57" max="57" width="15.1796875" bestFit="1" customWidth="1"/>
    <col min="58" max="58" width="20" bestFit="1" customWidth="1"/>
    <col min="59" max="59" width="13.453125" bestFit="1" customWidth="1"/>
    <col min="60" max="60" width="8.453125" bestFit="1" customWidth="1"/>
    <col min="61" max="61" width="9.54296875" bestFit="1" customWidth="1"/>
    <col min="62" max="62" width="17.6328125" bestFit="1" customWidth="1"/>
    <col min="63" max="63" width="7" bestFit="1" customWidth="1"/>
    <col min="65" max="65" width="15.453125" bestFit="1" customWidth="1"/>
  </cols>
  <sheetData>
    <row r="1" spans="1:65" x14ac:dyDescent="0.35">
      <c r="A1" s="1" t="s">
        <v>52</v>
      </c>
      <c r="B1" t="s">
        <v>0</v>
      </c>
      <c r="G1" s="1" t="s">
        <v>55</v>
      </c>
      <c r="H1" s="1" t="s">
        <v>1</v>
      </c>
      <c r="L1" s="1" t="s">
        <v>55</v>
      </c>
      <c r="M1" s="1" t="s">
        <v>2</v>
      </c>
      <c r="Q1" s="3" t="s">
        <v>3</v>
      </c>
      <c r="R1" s="2">
        <v>2025</v>
      </c>
      <c r="S1" s="2">
        <v>2035</v>
      </c>
      <c r="Z1" s="4"/>
      <c r="AA1" s="1" t="s">
        <v>52</v>
      </c>
      <c r="AB1" t="s">
        <v>0</v>
      </c>
      <c r="AC1" s="3" t="s">
        <v>53</v>
      </c>
      <c r="AG1" s="1" t="s">
        <v>54</v>
      </c>
      <c r="AH1" s="1" t="s">
        <v>1</v>
      </c>
      <c r="AL1" s="1" t="s">
        <v>54</v>
      </c>
      <c r="AM1" s="1" t="s">
        <v>2</v>
      </c>
      <c r="AQ1" s="3" t="s">
        <v>3</v>
      </c>
      <c r="AR1" s="2">
        <v>2025</v>
      </c>
      <c r="AS1" s="2">
        <v>2035</v>
      </c>
      <c r="AZ1" s="4"/>
      <c r="BC1" s="63" t="s">
        <v>4</v>
      </c>
      <c r="BD1" s="63"/>
      <c r="BE1" s="63"/>
      <c r="BF1" s="63"/>
      <c r="BG1" s="63"/>
      <c r="BH1" s="63"/>
      <c r="BI1" s="63"/>
      <c r="BJ1" s="63"/>
      <c r="BK1" s="63"/>
    </row>
    <row r="2" spans="1:65" x14ac:dyDescent="0.35">
      <c r="A2" s="42" t="s">
        <v>5</v>
      </c>
      <c r="B2" s="42" t="s">
        <v>6</v>
      </c>
      <c r="C2" s="42" t="s">
        <v>7</v>
      </c>
      <c r="D2" s="42" t="s">
        <v>8</v>
      </c>
      <c r="E2" s="42" t="s">
        <v>9</v>
      </c>
      <c r="G2" s="42" t="s">
        <v>10</v>
      </c>
      <c r="H2" s="42" t="s">
        <v>6</v>
      </c>
      <c r="I2" s="42" t="s">
        <v>7</v>
      </c>
      <c r="J2" s="42" t="s">
        <v>8</v>
      </c>
      <c r="L2" s="42" t="s">
        <v>10</v>
      </c>
      <c r="M2" s="42" t="s">
        <v>6</v>
      </c>
      <c r="N2" s="42" t="s">
        <v>7</v>
      </c>
      <c r="O2" s="42" t="s">
        <v>8</v>
      </c>
      <c r="P2" s="5"/>
      <c r="Q2" s="5" t="s">
        <v>5</v>
      </c>
      <c r="R2" s="5" t="s">
        <v>6</v>
      </c>
      <c r="S2" s="5" t="s">
        <v>6</v>
      </c>
      <c r="U2" s="5" t="s">
        <v>11</v>
      </c>
      <c r="V2" s="2">
        <v>2025</v>
      </c>
      <c r="W2" s="2">
        <v>2035</v>
      </c>
      <c r="Z2" s="4"/>
      <c r="AA2" s="45" t="str">
        <f t="shared" ref="AA2:AB33" si="0">A2</f>
        <v>CAPSTOK</v>
      </c>
      <c r="AB2" s="45" t="str">
        <f t="shared" si="0"/>
        <v>1 KepRi</v>
      </c>
      <c r="AC2" s="45" t="s">
        <v>7</v>
      </c>
      <c r="AD2" s="45" t="s">
        <v>8</v>
      </c>
      <c r="AE2" s="45" t="s">
        <v>9</v>
      </c>
      <c r="AG2" s="40" t="s">
        <v>12</v>
      </c>
      <c r="AH2" s="40" t="s">
        <v>6</v>
      </c>
      <c r="AI2" s="40" t="s">
        <v>7</v>
      </c>
      <c r="AJ2" s="40" t="s">
        <v>8</v>
      </c>
      <c r="AL2" s="40" t="s">
        <v>12</v>
      </c>
      <c r="AM2" s="40" t="s">
        <v>6</v>
      </c>
      <c r="AN2" s="40" t="s">
        <v>7</v>
      </c>
      <c r="AO2" s="40" t="s">
        <v>8</v>
      </c>
      <c r="AQ2" s="5" t="s">
        <v>5</v>
      </c>
      <c r="AR2" s="5" t="s">
        <v>6</v>
      </c>
      <c r="AS2" s="5" t="s">
        <v>6</v>
      </c>
      <c r="AU2" s="5" t="s">
        <v>13</v>
      </c>
      <c r="AV2" s="2">
        <v>2025</v>
      </c>
      <c r="AW2" s="2">
        <v>2035</v>
      </c>
      <c r="AZ2" s="4"/>
      <c r="BC2" s="3"/>
    </row>
    <row r="3" spans="1:65" s="6" customFormat="1" x14ac:dyDescent="0.35">
      <c r="A3" s="43" t="s">
        <v>14</v>
      </c>
      <c r="B3" s="43"/>
      <c r="C3" s="43"/>
      <c r="D3" s="43"/>
      <c r="E3" s="43"/>
      <c r="F3"/>
      <c r="G3" s="43" t="s">
        <v>14</v>
      </c>
      <c r="H3" s="43"/>
      <c r="I3" s="43"/>
      <c r="J3" s="43"/>
      <c r="K3"/>
      <c r="L3" s="44" t="s">
        <v>14</v>
      </c>
      <c r="M3" s="44"/>
      <c r="N3" s="44"/>
      <c r="O3" s="44"/>
      <c r="Q3" s="6" t="s">
        <v>14</v>
      </c>
      <c r="R3" s="6">
        <f>(100+H3)/100*B3</f>
        <v>0</v>
      </c>
      <c r="S3" s="6">
        <f>(100+M3)/100*B3</f>
        <v>0</v>
      </c>
      <c r="U3" s="6" t="s">
        <v>15</v>
      </c>
      <c r="V3" s="6">
        <f>VLOOKUP($U3,$Q$1:$S$33,2,FALSE)</f>
        <v>0</v>
      </c>
      <c r="W3" s="6">
        <f>VLOOKUP($U3,$Q$1:$S$33,3,FALSE)</f>
        <v>0</v>
      </c>
      <c r="Z3" s="7"/>
      <c r="AA3" s="46" t="str">
        <f t="shared" si="0"/>
        <v>1 Rice</v>
      </c>
      <c r="AB3" s="46">
        <f t="shared" si="0"/>
        <v>0</v>
      </c>
      <c r="AC3" s="46">
        <f t="shared" ref="AC3:AC33" si="1">C3</f>
        <v>0</v>
      </c>
      <c r="AD3" s="46">
        <f t="shared" ref="AD3:AD33" si="2">D3</f>
        <v>0</v>
      </c>
      <c r="AE3" s="46">
        <f t="shared" ref="AE3:AE33" si="3">E3</f>
        <v>0</v>
      </c>
      <c r="AG3" s="41" t="s">
        <v>14</v>
      </c>
      <c r="AH3" s="41"/>
      <c r="AI3" s="41"/>
      <c r="AJ3" s="41"/>
      <c r="AL3" s="47" t="s">
        <v>14</v>
      </c>
      <c r="AM3" s="47"/>
      <c r="AN3" s="47"/>
      <c r="AO3" s="47"/>
      <c r="AP3"/>
      <c r="AQ3" s="6" t="s">
        <v>14</v>
      </c>
      <c r="AR3" s="6">
        <f t="shared" ref="AR3:AR33" si="4">(100+AH3)/100*AB3</f>
        <v>0</v>
      </c>
      <c r="AS3" s="6">
        <f t="shared" ref="AS3:AS33" si="5">(100+AM3)/100*AB3</f>
        <v>0</v>
      </c>
      <c r="AU3" s="6" t="s">
        <v>15</v>
      </c>
      <c r="AV3" s="6">
        <f>VLOOKUP($AU3,$AQ$1:$AS$33,2,FALSE)</f>
        <v>0</v>
      </c>
      <c r="AW3" s="6">
        <f>VLOOKUP($AU3,$AQ$1:$AS$33,3,FALSE)</f>
        <v>0</v>
      </c>
      <c r="AZ3" s="7"/>
      <c r="BC3" s="8" t="str">
        <f t="shared" ref="BC3:BE8" si="6">U2</f>
        <v>BASELINE</v>
      </c>
      <c r="BD3" s="9">
        <f t="shared" si="6"/>
        <v>2025</v>
      </c>
      <c r="BE3" s="9">
        <f t="shared" si="6"/>
        <v>2035</v>
      </c>
      <c r="BF3" s="9" t="s">
        <v>16</v>
      </c>
      <c r="BG3" s="9" t="s">
        <v>17</v>
      </c>
      <c r="BH3" s="9" t="s">
        <v>18</v>
      </c>
      <c r="BI3" s="10"/>
      <c r="BJ3" s="10"/>
      <c r="BK3" s="11"/>
    </row>
    <row r="4" spans="1:65" s="6" customFormat="1" x14ac:dyDescent="0.35">
      <c r="A4" s="43" t="s">
        <v>19</v>
      </c>
      <c r="B4" s="43"/>
      <c r="C4" s="43"/>
      <c r="D4" s="43"/>
      <c r="E4" s="43"/>
      <c r="F4"/>
      <c r="G4" s="43" t="s">
        <v>19</v>
      </c>
      <c r="H4" s="43"/>
      <c r="I4" s="43"/>
      <c r="J4" s="43"/>
      <c r="K4"/>
      <c r="L4" s="44" t="s">
        <v>19</v>
      </c>
      <c r="M4" s="44"/>
      <c r="N4" s="44"/>
      <c r="O4" s="44"/>
      <c r="Q4" s="6" t="s">
        <v>19</v>
      </c>
      <c r="R4" s="6">
        <f t="shared" ref="R4:R33" si="7">(100+H4)/100*B4</f>
        <v>0</v>
      </c>
      <c r="S4" s="6">
        <f t="shared" ref="S4:S33" si="8">(100+M4)/100*B4</f>
        <v>0</v>
      </c>
      <c r="U4" s="6" t="s">
        <v>20</v>
      </c>
      <c r="V4" s="6">
        <f t="shared" ref="V4:V7" si="9">VLOOKUP($U4,$Q$1:$S$33,2,FALSE)</f>
        <v>0</v>
      </c>
      <c r="W4" s="6">
        <f t="shared" ref="W4:W7" si="10">VLOOKUP($U4,$Q$1:$S$33,3,FALSE)</f>
        <v>0</v>
      </c>
      <c r="Z4" s="7"/>
      <c r="AA4" s="46" t="str">
        <f t="shared" si="0"/>
        <v>2 FoodCrops</v>
      </c>
      <c r="AB4" s="46">
        <f t="shared" si="0"/>
        <v>0</v>
      </c>
      <c r="AC4" s="46">
        <f t="shared" si="1"/>
        <v>0</v>
      </c>
      <c r="AD4" s="46">
        <f t="shared" si="2"/>
        <v>0</v>
      </c>
      <c r="AE4" s="46">
        <f t="shared" si="3"/>
        <v>0</v>
      </c>
      <c r="AG4" s="41" t="s">
        <v>19</v>
      </c>
      <c r="AH4" s="41"/>
      <c r="AI4" s="41"/>
      <c r="AJ4" s="41"/>
      <c r="AL4" s="47" t="s">
        <v>19</v>
      </c>
      <c r="AM4" s="47"/>
      <c r="AN4" s="47"/>
      <c r="AO4" s="47"/>
      <c r="AQ4" s="6" t="s">
        <v>19</v>
      </c>
      <c r="AR4" s="6">
        <f t="shared" si="4"/>
        <v>0</v>
      </c>
      <c r="AS4" s="6">
        <f t="shared" si="5"/>
        <v>0</v>
      </c>
      <c r="AU4" s="6" t="s">
        <v>20</v>
      </c>
      <c r="AV4" s="6">
        <f>VLOOKUP($AU4,$AQ$1:$AS$33,2,FALSE)</f>
        <v>0</v>
      </c>
      <c r="AW4" s="6">
        <f>VLOOKUP($AU4,$AQ$1:$AS$33,3,FALSE)</f>
        <v>0</v>
      </c>
      <c r="AZ4" s="7"/>
      <c r="BC4" s="12" t="str">
        <f t="shared" si="6"/>
        <v>16 ElectEqp</v>
      </c>
      <c r="BD4" s="13">
        <f t="shared" si="6"/>
        <v>0</v>
      </c>
      <c r="BE4" s="13">
        <f t="shared" si="6"/>
        <v>0</v>
      </c>
      <c r="BF4" s="14">
        <f>BE4-BD4</f>
        <v>0</v>
      </c>
      <c r="BG4"/>
      <c r="BH4" s="15" t="e">
        <f>(((BE4/BD4)^(1/($BE$3-$BD$3)))-1)*100</f>
        <v>#DIV/0!</v>
      </c>
      <c r="BI4"/>
      <c r="BJ4"/>
      <c r="BK4" s="16"/>
    </row>
    <row r="5" spans="1:65" s="6" customFormat="1" x14ac:dyDescent="0.35">
      <c r="A5" s="43" t="s">
        <v>21</v>
      </c>
      <c r="B5" s="43"/>
      <c r="C5" s="43"/>
      <c r="D5" s="43"/>
      <c r="E5" s="43"/>
      <c r="G5" s="43" t="s">
        <v>21</v>
      </c>
      <c r="H5" s="43"/>
      <c r="I5" s="43"/>
      <c r="J5" s="43"/>
      <c r="L5" s="44" t="s">
        <v>21</v>
      </c>
      <c r="M5" s="44"/>
      <c r="N5" s="44"/>
      <c r="O5" s="44"/>
      <c r="Q5" s="6" t="s">
        <v>21</v>
      </c>
      <c r="R5" s="6">
        <f t="shared" si="7"/>
        <v>0</v>
      </c>
      <c r="S5" s="6">
        <f t="shared" si="8"/>
        <v>0</v>
      </c>
      <c r="U5" s="6" t="s">
        <v>22</v>
      </c>
      <c r="V5" s="6">
        <f t="shared" si="9"/>
        <v>0</v>
      </c>
      <c r="W5" s="6">
        <f t="shared" si="10"/>
        <v>0</v>
      </c>
      <c r="Z5" s="7"/>
      <c r="AA5" s="46" t="str">
        <f t="shared" si="0"/>
        <v>3 OthAgr</v>
      </c>
      <c r="AB5" s="46">
        <f t="shared" si="0"/>
        <v>0</v>
      </c>
      <c r="AC5" s="46">
        <f t="shared" si="1"/>
        <v>0</v>
      </c>
      <c r="AD5" s="46">
        <f t="shared" si="2"/>
        <v>0</v>
      </c>
      <c r="AE5" s="46">
        <f t="shared" si="3"/>
        <v>0</v>
      </c>
      <c r="AG5" s="41" t="s">
        <v>21</v>
      </c>
      <c r="AH5" s="41"/>
      <c r="AI5" s="41"/>
      <c r="AJ5" s="41"/>
      <c r="AL5" s="47" t="s">
        <v>21</v>
      </c>
      <c r="AM5" s="47"/>
      <c r="AN5" s="47"/>
      <c r="AO5" s="47"/>
      <c r="AQ5" s="6" t="s">
        <v>21</v>
      </c>
      <c r="AR5" s="6">
        <f t="shared" si="4"/>
        <v>0</v>
      </c>
      <c r="AS5" s="6">
        <f t="shared" si="5"/>
        <v>0</v>
      </c>
      <c r="AU5" s="6" t="s">
        <v>22</v>
      </c>
      <c r="AV5" s="6">
        <f>VLOOKUP($AU5,$AQ$1:$AS$33,2,FALSE)</f>
        <v>0</v>
      </c>
      <c r="AW5" s="6">
        <f>VLOOKUP($AU5,$AQ$1:$AS$33,3,FALSE)</f>
        <v>0</v>
      </c>
      <c r="AZ5" s="7"/>
      <c r="BC5" s="12" t="str">
        <f t="shared" si="6"/>
        <v>28 Banking</v>
      </c>
      <c r="BD5" s="13">
        <f t="shared" si="6"/>
        <v>0</v>
      </c>
      <c r="BE5" s="13">
        <f t="shared" si="6"/>
        <v>0</v>
      </c>
      <c r="BF5" s="14">
        <f t="shared" ref="BF5:BF8" si="11">BE5-BD5</f>
        <v>0</v>
      </c>
      <c r="BG5"/>
      <c r="BH5" s="15" t="e">
        <f>(((BE5/BD5)^(1/($BE$3-$BD$3)))-1)*100</f>
        <v>#DIV/0!</v>
      </c>
      <c r="BI5"/>
      <c r="BJ5"/>
      <c r="BK5" s="16"/>
    </row>
    <row r="6" spans="1:65" s="6" customFormat="1" x14ac:dyDescent="0.35">
      <c r="A6" s="43" t="s">
        <v>23</v>
      </c>
      <c r="B6" s="43"/>
      <c r="C6" s="43"/>
      <c r="D6" s="43"/>
      <c r="E6" s="43"/>
      <c r="G6" s="43" t="s">
        <v>23</v>
      </c>
      <c r="H6" s="43"/>
      <c r="I6" s="43"/>
      <c r="J6" s="43"/>
      <c r="L6" s="44" t="s">
        <v>23</v>
      </c>
      <c r="M6" s="44"/>
      <c r="N6" s="44"/>
      <c r="O6" s="44"/>
      <c r="Q6" s="6" t="s">
        <v>23</v>
      </c>
      <c r="R6" s="6">
        <f t="shared" si="7"/>
        <v>0</v>
      </c>
      <c r="S6" s="6">
        <f t="shared" si="8"/>
        <v>0</v>
      </c>
      <c r="U6" s="6" t="s">
        <v>24</v>
      </c>
      <c r="V6" s="6">
        <f t="shared" si="9"/>
        <v>0</v>
      </c>
      <c r="W6" s="6">
        <f t="shared" si="10"/>
        <v>0</v>
      </c>
      <c r="Z6" s="7"/>
      <c r="AA6" s="46" t="str">
        <f t="shared" si="0"/>
        <v>4 Forestry</v>
      </c>
      <c r="AB6" s="46">
        <f t="shared" si="0"/>
        <v>0</v>
      </c>
      <c r="AC6" s="46">
        <f t="shared" si="1"/>
        <v>0</v>
      </c>
      <c r="AD6" s="46">
        <f t="shared" si="2"/>
        <v>0</v>
      </c>
      <c r="AE6" s="46">
        <f t="shared" si="3"/>
        <v>0</v>
      </c>
      <c r="AG6" s="41" t="s">
        <v>23</v>
      </c>
      <c r="AH6" s="41"/>
      <c r="AI6" s="41"/>
      <c r="AJ6" s="41"/>
      <c r="AL6" s="47" t="s">
        <v>23</v>
      </c>
      <c r="AM6" s="47"/>
      <c r="AN6" s="47"/>
      <c r="AO6" s="47"/>
      <c r="AQ6" s="6" t="s">
        <v>23</v>
      </c>
      <c r="AR6" s="6">
        <f t="shared" si="4"/>
        <v>0</v>
      </c>
      <c r="AS6" s="6">
        <f t="shared" si="5"/>
        <v>0</v>
      </c>
      <c r="AU6" s="6" t="s">
        <v>24</v>
      </c>
      <c r="AV6" s="6">
        <f>VLOOKUP($AU6,$AQ$1:$AS$33,2,FALSE)</f>
        <v>0</v>
      </c>
      <c r="AW6" s="6">
        <f>VLOOKUP($AU6,$AQ$1:$AS$33,3,FALSE)</f>
        <v>0</v>
      </c>
      <c r="AZ6" s="7"/>
      <c r="BC6" s="12" t="str">
        <f t="shared" si="6"/>
        <v>27 InformatTech</v>
      </c>
      <c r="BD6" s="13">
        <f t="shared" si="6"/>
        <v>0</v>
      </c>
      <c r="BE6" s="13">
        <f t="shared" si="6"/>
        <v>0</v>
      </c>
      <c r="BF6" s="14">
        <f t="shared" si="11"/>
        <v>0</v>
      </c>
      <c r="BG6"/>
      <c r="BH6" s="15" t="e">
        <f>(((BE6/BD6)^(1/($BE$3-$BD$3)))-1)*100</f>
        <v>#DIV/0!</v>
      </c>
      <c r="BI6"/>
      <c r="BJ6"/>
      <c r="BK6" s="16"/>
    </row>
    <row r="7" spans="1:65" s="6" customFormat="1" x14ac:dyDescent="0.35">
      <c r="A7" s="43" t="s">
        <v>25</v>
      </c>
      <c r="B7" s="43"/>
      <c r="C7" s="43"/>
      <c r="D7" s="43"/>
      <c r="E7" s="43"/>
      <c r="G7" s="43" t="s">
        <v>25</v>
      </c>
      <c r="H7" s="43"/>
      <c r="I7" s="43"/>
      <c r="J7" s="43"/>
      <c r="L7" s="44" t="s">
        <v>25</v>
      </c>
      <c r="M7" s="44"/>
      <c r="N7" s="44"/>
      <c r="O7" s="44"/>
      <c r="Q7" s="6" t="s">
        <v>25</v>
      </c>
      <c r="R7" s="6">
        <f t="shared" si="7"/>
        <v>0</v>
      </c>
      <c r="S7" s="6">
        <f t="shared" si="8"/>
        <v>0</v>
      </c>
      <c r="U7" s="6" t="s">
        <v>26</v>
      </c>
      <c r="V7" s="6">
        <f t="shared" si="9"/>
        <v>0</v>
      </c>
      <c r="W7" s="6">
        <f t="shared" si="10"/>
        <v>0</v>
      </c>
      <c r="Z7" s="7"/>
      <c r="AA7" s="46" t="str">
        <f t="shared" si="0"/>
        <v>5 OthPlant</v>
      </c>
      <c r="AB7" s="46">
        <f t="shared" si="0"/>
        <v>0</v>
      </c>
      <c r="AC7" s="46">
        <f t="shared" si="1"/>
        <v>0</v>
      </c>
      <c r="AD7" s="46">
        <f t="shared" si="2"/>
        <v>0</v>
      </c>
      <c r="AE7" s="46">
        <f t="shared" si="3"/>
        <v>0</v>
      </c>
      <c r="AG7" s="41" t="s">
        <v>25</v>
      </c>
      <c r="AH7" s="41"/>
      <c r="AI7" s="41"/>
      <c r="AJ7" s="41"/>
      <c r="AL7" s="47" t="s">
        <v>25</v>
      </c>
      <c r="AM7" s="47"/>
      <c r="AN7" s="47"/>
      <c r="AO7" s="47"/>
      <c r="AQ7" s="6" t="s">
        <v>25</v>
      </c>
      <c r="AR7" s="6">
        <f t="shared" si="4"/>
        <v>0</v>
      </c>
      <c r="AS7" s="6">
        <f t="shared" si="5"/>
        <v>0</v>
      </c>
      <c r="AU7" s="6" t="s">
        <v>26</v>
      </c>
      <c r="AV7" s="6">
        <f>VLOOKUP($AU7,$AQ$1:$AS$33,2,FALSE)</f>
        <v>0</v>
      </c>
      <c r="AW7" s="6">
        <f>VLOOKUP($AU7,$AQ$1:$AS$33,3,FALSE)</f>
        <v>0</v>
      </c>
      <c r="AZ7" s="7"/>
      <c r="BC7" s="12" t="str">
        <f t="shared" si="6"/>
        <v>6 Fishery</v>
      </c>
      <c r="BD7" s="13">
        <f t="shared" si="6"/>
        <v>0</v>
      </c>
      <c r="BE7" s="13">
        <f t="shared" si="6"/>
        <v>0</v>
      </c>
      <c r="BF7" s="14">
        <f t="shared" si="11"/>
        <v>0</v>
      </c>
      <c r="BG7"/>
      <c r="BH7" s="15" t="e">
        <f>(((BE7/BD7)^(1/($BE$3-$BD$3)))-1)*100</f>
        <v>#DIV/0!</v>
      </c>
      <c r="BI7"/>
      <c r="BJ7"/>
      <c r="BK7" s="16"/>
    </row>
    <row r="8" spans="1:65" s="6" customFormat="1" x14ac:dyDescent="0.35">
      <c r="A8" s="43" t="s">
        <v>24</v>
      </c>
      <c r="B8" s="43"/>
      <c r="C8" s="43"/>
      <c r="D8" s="43"/>
      <c r="E8" s="43"/>
      <c r="G8" s="43" t="s">
        <v>24</v>
      </c>
      <c r="H8" s="43"/>
      <c r="I8" s="43"/>
      <c r="J8" s="43"/>
      <c r="L8" s="44" t="s">
        <v>24</v>
      </c>
      <c r="M8" s="44"/>
      <c r="N8" s="44"/>
      <c r="O8" s="44"/>
      <c r="Q8" s="6" t="s">
        <v>24</v>
      </c>
      <c r="R8" s="6">
        <f t="shared" si="7"/>
        <v>0</v>
      </c>
      <c r="S8" s="6">
        <f t="shared" si="8"/>
        <v>0</v>
      </c>
      <c r="Z8" s="7"/>
      <c r="AA8" s="46" t="str">
        <f t="shared" si="0"/>
        <v>6 Fishery</v>
      </c>
      <c r="AB8" s="46">
        <f t="shared" si="0"/>
        <v>0</v>
      </c>
      <c r="AC8" s="46">
        <f t="shared" si="1"/>
        <v>0</v>
      </c>
      <c r="AD8" s="46">
        <f t="shared" si="2"/>
        <v>0</v>
      </c>
      <c r="AE8" s="46">
        <f t="shared" si="3"/>
        <v>0</v>
      </c>
      <c r="AG8" s="41" t="s">
        <v>24</v>
      </c>
      <c r="AH8" s="41"/>
      <c r="AI8" s="41"/>
      <c r="AJ8" s="41"/>
      <c r="AL8" s="47" t="s">
        <v>24</v>
      </c>
      <c r="AM8" s="47"/>
      <c r="AN8" s="47"/>
      <c r="AO8" s="47"/>
      <c r="AQ8" s="6" t="s">
        <v>24</v>
      </c>
      <c r="AR8" s="6">
        <f t="shared" si="4"/>
        <v>0</v>
      </c>
      <c r="AS8" s="6">
        <f t="shared" si="5"/>
        <v>0</v>
      </c>
      <c r="AZ8" s="7"/>
      <c r="BC8" s="17" t="str">
        <f t="shared" si="6"/>
        <v>10 FoodProds</v>
      </c>
      <c r="BD8" s="18">
        <f t="shared" si="6"/>
        <v>0</v>
      </c>
      <c r="BE8" s="18">
        <f t="shared" si="6"/>
        <v>0</v>
      </c>
      <c r="BF8" s="19">
        <f t="shared" si="11"/>
        <v>0</v>
      </c>
      <c r="BG8" s="20"/>
      <c r="BH8" s="21" t="e">
        <f>(((BE8/BD8)^(1/($BE$3-$BD$3)))-1)*100</f>
        <v>#DIV/0!</v>
      </c>
      <c r="BI8" s="20"/>
      <c r="BJ8" s="20"/>
      <c r="BK8" s="22"/>
    </row>
    <row r="9" spans="1:65" s="6" customFormat="1" x14ac:dyDescent="0.35">
      <c r="A9" s="43" t="s">
        <v>27</v>
      </c>
      <c r="B9" s="43"/>
      <c r="C9" s="43"/>
      <c r="D9" s="43"/>
      <c r="E9" s="43"/>
      <c r="G9" s="43" t="s">
        <v>27</v>
      </c>
      <c r="H9" s="43"/>
      <c r="I9" s="43"/>
      <c r="J9" s="43"/>
      <c r="L9" s="44" t="s">
        <v>27</v>
      </c>
      <c r="M9" s="44"/>
      <c r="N9" s="44"/>
      <c r="O9" s="44"/>
      <c r="Q9" s="6" t="s">
        <v>27</v>
      </c>
      <c r="R9" s="6">
        <f t="shared" si="7"/>
        <v>0</v>
      </c>
      <c r="S9" s="6">
        <f t="shared" si="8"/>
        <v>0</v>
      </c>
      <c r="Z9" s="7"/>
      <c r="AA9" s="46" t="str">
        <f t="shared" si="0"/>
        <v>7 Coal</v>
      </c>
      <c r="AB9" s="46">
        <f t="shared" si="0"/>
        <v>0</v>
      </c>
      <c r="AC9" s="46">
        <f t="shared" si="1"/>
        <v>0</v>
      </c>
      <c r="AD9" s="46">
        <f t="shared" si="2"/>
        <v>0</v>
      </c>
      <c r="AE9" s="46">
        <f t="shared" si="3"/>
        <v>0</v>
      </c>
      <c r="AG9" s="41" t="s">
        <v>27</v>
      </c>
      <c r="AH9" s="41"/>
      <c r="AI9" s="41"/>
      <c r="AJ9" s="41"/>
      <c r="AL9" s="47" t="s">
        <v>27</v>
      </c>
      <c r="AM9" s="47"/>
      <c r="AN9" s="47"/>
      <c r="AO9" s="47"/>
      <c r="AQ9" s="6" t="s">
        <v>27</v>
      </c>
      <c r="AR9" s="6">
        <f t="shared" si="4"/>
        <v>0</v>
      </c>
      <c r="AS9" s="6">
        <f t="shared" si="5"/>
        <v>0</v>
      </c>
      <c r="AZ9" s="7"/>
      <c r="BC9"/>
      <c r="BD9"/>
      <c r="BE9"/>
      <c r="BF9"/>
      <c r="BG9"/>
      <c r="BH9"/>
      <c r="BI9"/>
      <c r="BJ9"/>
      <c r="BK9"/>
    </row>
    <row r="10" spans="1:65" s="6" customFormat="1" ht="15" thickBot="1" x14ac:dyDescent="0.4">
      <c r="A10" s="43" t="s">
        <v>28</v>
      </c>
      <c r="B10" s="43"/>
      <c r="C10" s="43"/>
      <c r="D10" s="43"/>
      <c r="E10" s="43"/>
      <c r="G10" s="43" t="s">
        <v>28</v>
      </c>
      <c r="H10" s="43"/>
      <c r="I10" s="43"/>
      <c r="J10" s="43"/>
      <c r="L10" s="44" t="s">
        <v>28</v>
      </c>
      <c r="M10" s="44"/>
      <c r="N10" s="44"/>
      <c r="O10" s="44"/>
      <c r="Q10" s="6" t="s">
        <v>28</v>
      </c>
      <c r="R10" s="6">
        <f t="shared" si="7"/>
        <v>0</v>
      </c>
      <c r="S10" s="6">
        <f t="shared" si="8"/>
        <v>0</v>
      </c>
      <c r="Z10" s="7"/>
      <c r="AA10" s="46" t="str">
        <f t="shared" si="0"/>
        <v>8 NatGas</v>
      </c>
      <c r="AB10" s="46">
        <f t="shared" si="0"/>
        <v>0</v>
      </c>
      <c r="AC10" s="46">
        <f t="shared" si="1"/>
        <v>0</v>
      </c>
      <c r="AD10" s="46">
        <f t="shared" si="2"/>
        <v>0</v>
      </c>
      <c r="AE10" s="46">
        <f t="shared" si="3"/>
        <v>0</v>
      </c>
      <c r="AG10" s="41" t="s">
        <v>28</v>
      </c>
      <c r="AH10" s="41"/>
      <c r="AI10" s="41"/>
      <c r="AJ10" s="41"/>
      <c r="AL10" s="47" t="s">
        <v>28</v>
      </c>
      <c r="AM10" s="47"/>
      <c r="AN10" s="47"/>
      <c r="AO10" s="47"/>
      <c r="AQ10" s="6" t="s">
        <v>28</v>
      </c>
      <c r="AR10" s="6">
        <f t="shared" si="4"/>
        <v>0</v>
      </c>
      <c r="AS10" s="6">
        <f t="shared" si="5"/>
        <v>0</v>
      </c>
      <c r="AZ10" s="7"/>
      <c r="BC10" s="3"/>
      <c r="BD10"/>
      <c r="BE10"/>
      <c r="BF10"/>
      <c r="BG10"/>
      <c r="BH10"/>
      <c r="BI10"/>
      <c r="BJ10"/>
      <c r="BK10"/>
    </row>
    <row r="11" spans="1:65" s="6" customFormat="1" x14ac:dyDescent="0.35">
      <c r="A11" s="43" t="s">
        <v>29</v>
      </c>
      <c r="B11" s="43"/>
      <c r="C11" s="43"/>
      <c r="D11" s="43"/>
      <c r="E11" s="43"/>
      <c r="G11" s="43" t="s">
        <v>29</v>
      </c>
      <c r="H11" s="43"/>
      <c r="I11" s="43"/>
      <c r="J11" s="43"/>
      <c r="L11" s="44" t="s">
        <v>29</v>
      </c>
      <c r="M11" s="44"/>
      <c r="N11" s="44"/>
      <c r="O11" s="44"/>
      <c r="Q11" s="6" t="s">
        <v>29</v>
      </c>
      <c r="R11" s="6">
        <f t="shared" si="7"/>
        <v>0</v>
      </c>
      <c r="S11" s="6">
        <f t="shared" si="8"/>
        <v>0</v>
      </c>
      <c r="Z11" s="7"/>
      <c r="AA11" s="46" t="str">
        <f t="shared" si="0"/>
        <v>9 OthMine</v>
      </c>
      <c r="AB11" s="46">
        <f t="shared" si="0"/>
        <v>0</v>
      </c>
      <c r="AC11" s="46">
        <f t="shared" si="1"/>
        <v>0</v>
      </c>
      <c r="AD11" s="46">
        <f t="shared" si="2"/>
        <v>0</v>
      </c>
      <c r="AE11" s="46">
        <f t="shared" si="3"/>
        <v>0</v>
      </c>
      <c r="AG11" s="41" t="s">
        <v>29</v>
      </c>
      <c r="AH11" s="41"/>
      <c r="AI11" s="41"/>
      <c r="AJ11" s="41"/>
      <c r="AL11" s="47" t="s">
        <v>29</v>
      </c>
      <c r="AM11" s="47"/>
      <c r="AN11" s="47"/>
      <c r="AO11" s="47"/>
      <c r="AQ11" s="6" t="s">
        <v>29</v>
      </c>
      <c r="AR11" s="6">
        <f t="shared" si="4"/>
        <v>0</v>
      </c>
      <c r="AS11" s="6">
        <f t="shared" si="5"/>
        <v>0</v>
      </c>
      <c r="AZ11" s="7"/>
      <c r="BC11" s="8" t="str">
        <f t="shared" ref="BC11:BE16" si="12">AU2</f>
        <v>POLICY</v>
      </c>
      <c r="BD11" s="9">
        <f t="shared" si="12"/>
        <v>2025</v>
      </c>
      <c r="BE11" s="9">
        <f t="shared" si="12"/>
        <v>2035</v>
      </c>
      <c r="BF11" s="9" t="s">
        <v>16</v>
      </c>
      <c r="BG11" s="9" t="s">
        <v>17</v>
      </c>
      <c r="BH11" s="9" t="s">
        <v>18</v>
      </c>
      <c r="BI11" s="9"/>
      <c r="BJ11" s="9"/>
      <c r="BK11" s="23"/>
      <c r="BM11" s="24" t="s">
        <v>30</v>
      </c>
    </row>
    <row r="12" spans="1:65" s="6" customFormat="1" ht="15" thickBot="1" x14ac:dyDescent="0.4">
      <c r="A12" s="43" t="s">
        <v>26</v>
      </c>
      <c r="B12" s="43"/>
      <c r="C12" s="43"/>
      <c r="D12" s="43"/>
      <c r="E12" s="43"/>
      <c r="G12" s="43" t="s">
        <v>26</v>
      </c>
      <c r="H12" s="43"/>
      <c r="I12" s="43"/>
      <c r="J12" s="43"/>
      <c r="L12" s="44" t="s">
        <v>26</v>
      </c>
      <c r="M12" s="44"/>
      <c r="N12" s="44"/>
      <c r="O12" s="44"/>
      <c r="Q12" s="6" t="s">
        <v>26</v>
      </c>
      <c r="R12" s="6">
        <f t="shared" si="7"/>
        <v>0</v>
      </c>
      <c r="S12" s="6">
        <f t="shared" si="8"/>
        <v>0</v>
      </c>
      <c r="Z12" s="7"/>
      <c r="AA12" s="46" t="str">
        <f t="shared" si="0"/>
        <v>10 FoodProds</v>
      </c>
      <c r="AB12" s="46">
        <f t="shared" si="0"/>
        <v>0</v>
      </c>
      <c r="AC12" s="46">
        <f t="shared" si="1"/>
        <v>0</v>
      </c>
      <c r="AD12" s="46">
        <f t="shared" si="2"/>
        <v>0</v>
      </c>
      <c r="AE12" s="46">
        <f t="shared" si="3"/>
        <v>0</v>
      </c>
      <c r="AG12" s="41" t="s">
        <v>26</v>
      </c>
      <c r="AH12" s="41"/>
      <c r="AI12" s="41"/>
      <c r="AJ12" s="41"/>
      <c r="AL12" s="47" t="s">
        <v>26</v>
      </c>
      <c r="AM12" s="47"/>
      <c r="AN12" s="47"/>
      <c r="AO12" s="47"/>
      <c r="AQ12" s="6" t="s">
        <v>26</v>
      </c>
      <c r="AR12" s="6">
        <f t="shared" si="4"/>
        <v>0</v>
      </c>
      <c r="AS12" s="6">
        <f t="shared" si="5"/>
        <v>0</v>
      </c>
      <c r="AZ12" s="7"/>
      <c r="BC12" s="12" t="str">
        <f t="shared" si="12"/>
        <v>16 ElectEqp</v>
      </c>
      <c r="BD12" s="13">
        <f t="shared" si="12"/>
        <v>0</v>
      </c>
      <c r="BE12" s="13">
        <f t="shared" si="12"/>
        <v>0</v>
      </c>
      <c r="BF12" s="14">
        <f>BE12-BD12</f>
        <v>0</v>
      </c>
      <c r="BG12" s="28">
        <f t="shared" ref="BG12:BG16" si="13">BF12-BF4</f>
        <v>0</v>
      </c>
      <c r="BH12" s="15" t="e">
        <f>(((BE12/BD12)^(1/($BE$3-$BD$3)))-1)*100</f>
        <v>#DIV/0!</v>
      </c>
      <c r="BI12" s="13" t="e">
        <f>BH12/BH4</f>
        <v>#DIV/0!</v>
      </c>
      <c r="BJ12" s="25"/>
      <c r="BK12" s="26"/>
      <c r="BM12" s="27">
        <v>141247.65</v>
      </c>
    </row>
    <row r="13" spans="1:65" s="6" customFormat="1" x14ac:dyDescent="0.35">
      <c r="A13" s="43" t="s">
        <v>31</v>
      </c>
      <c r="B13" s="43"/>
      <c r="C13" s="43"/>
      <c r="D13" s="43"/>
      <c r="E13" s="43"/>
      <c r="G13" s="43" t="s">
        <v>31</v>
      </c>
      <c r="H13" s="43"/>
      <c r="I13" s="43"/>
      <c r="J13" s="43"/>
      <c r="L13" s="44" t="s">
        <v>31</v>
      </c>
      <c r="M13" s="44"/>
      <c r="N13" s="44"/>
      <c r="O13" s="44"/>
      <c r="Q13" s="6" t="s">
        <v>31</v>
      </c>
      <c r="R13" s="6">
        <f t="shared" si="7"/>
        <v>0</v>
      </c>
      <c r="S13" s="6">
        <f t="shared" si="8"/>
        <v>0</v>
      </c>
      <c r="Z13" s="7"/>
      <c r="AA13" s="46" t="str">
        <f t="shared" si="0"/>
        <v>11 EdibleOils</v>
      </c>
      <c r="AB13" s="46">
        <f t="shared" si="0"/>
        <v>0</v>
      </c>
      <c r="AC13" s="46">
        <f t="shared" si="1"/>
        <v>0</v>
      </c>
      <c r="AD13" s="46">
        <f t="shared" si="2"/>
        <v>0</v>
      </c>
      <c r="AE13" s="46">
        <f t="shared" si="3"/>
        <v>0</v>
      </c>
      <c r="AG13" s="41" t="s">
        <v>31</v>
      </c>
      <c r="AH13" s="41"/>
      <c r="AI13" s="41"/>
      <c r="AJ13" s="41"/>
      <c r="AL13" s="47" t="s">
        <v>31</v>
      </c>
      <c r="AM13" s="47"/>
      <c r="AN13" s="47"/>
      <c r="AO13" s="47"/>
      <c r="AQ13" s="6" t="s">
        <v>31</v>
      </c>
      <c r="AR13" s="6">
        <f t="shared" si="4"/>
        <v>0</v>
      </c>
      <c r="AS13" s="6">
        <f t="shared" si="5"/>
        <v>0</v>
      </c>
      <c r="AZ13" s="7"/>
      <c r="BC13" s="12" t="str">
        <f t="shared" si="12"/>
        <v>28 Banking</v>
      </c>
      <c r="BD13" s="13">
        <f t="shared" si="12"/>
        <v>0</v>
      </c>
      <c r="BE13" s="13">
        <f t="shared" si="12"/>
        <v>0</v>
      </c>
      <c r="BF13" s="14">
        <f t="shared" ref="BF13:BF16" si="14">BE13-BD13</f>
        <v>0</v>
      </c>
      <c r="BG13" s="28">
        <f t="shared" si="13"/>
        <v>0</v>
      </c>
      <c r="BH13" s="15" t="e">
        <f>(((BE13/BD13)^(1/($BE$3-$BD$3)))-1)*100</f>
        <v>#DIV/0!</v>
      </c>
      <c r="BI13" s="13" t="e">
        <f t="shared" ref="BI13:BI16" si="15">BH13/BH5</f>
        <v>#DIV/0!</v>
      </c>
      <c r="BJ13"/>
      <c r="BK13" s="26"/>
      <c r="BM13" s="6">
        <f>BG13-BM12</f>
        <v>-141247.65</v>
      </c>
    </row>
    <row r="14" spans="1:65" s="6" customFormat="1" x14ac:dyDescent="0.35">
      <c r="A14" s="43" t="s">
        <v>32</v>
      </c>
      <c r="B14" s="43"/>
      <c r="C14" s="43"/>
      <c r="D14" s="43"/>
      <c r="E14" s="43"/>
      <c r="G14" s="43" t="s">
        <v>32</v>
      </c>
      <c r="H14" s="43"/>
      <c r="I14" s="43"/>
      <c r="J14" s="43"/>
      <c r="L14" s="44" t="s">
        <v>32</v>
      </c>
      <c r="M14" s="44"/>
      <c r="N14" s="44"/>
      <c r="O14" s="44"/>
      <c r="Q14" s="6" t="s">
        <v>32</v>
      </c>
      <c r="R14" s="6">
        <f t="shared" si="7"/>
        <v>0</v>
      </c>
      <c r="S14" s="6">
        <f t="shared" si="8"/>
        <v>0</v>
      </c>
      <c r="Z14" s="7"/>
      <c r="AA14" s="46" t="str">
        <f t="shared" si="0"/>
        <v>12 RiceMilling</v>
      </c>
      <c r="AB14" s="46">
        <f t="shared" si="0"/>
        <v>0</v>
      </c>
      <c r="AC14" s="46">
        <f t="shared" si="1"/>
        <v>0</v>
      </c>
      <c r="AD14" s="46">
        <f t="shared" si="2"/>
        <v>0</v>
      </c>
      <c r="AE14" s="46">
        <f t="shared" si="3"/>
        <v>0</v>
      </c>
      <c r="AG14" s="41" t="s">
        <v>32</v>
      </c>
      <c r="AH14" s="41"/>
      <c r="AI14" s="41"/>
      <c r="AJ14" s="41"/>
      <c r="AL14" s="47" t="s">
        <v>32</v>
      </c>
      <c r="AM14" s="47"/>
      <c r="AN14" s="47"/>
      <c r="AO14" s="47"/>
      <c r="AQ14" s="6" t="s">
        <v>32</v>
      </c>
      <c r="AR14" s="6">
        <f t="shared" si="4"/>
        <v>0</v>
      </c>
      <c r="AS14" s="6">
        <f t="shared" si="5"/>
        <v>0</v>
      </c>
      <c r="AZ14" s="7"/>
      <c r="BC14" s="12" t="str">
        <f t="shared" si="12"/>
        <v>27 InformatTech</v>
      </c>
      <c r="BD14" s="13">
        <f t="shared" si="12"/>
        <v>0</v>
      </c>
      <c r="BE14" s="13">
        <f t="shared" si="12"/>
        <v>0</v>
      </c>
      <c r="BF14" s="14">
        <f t="shared" si="14"/>
        <v>0</v>
      </c>
      <c r="BG14" s="28">
        <f t="shared" si="13"/>
        <v>0</v>
      </c>
      <c r="BH14" s="15" t="e">
        <f>(((BE14/BD14)^(1/($BE$3-$BD$3)))-1)*100</f>
        <v>#DIV/0!</v>
      </c>
      <c r="BI14" s="13" t="e">
        <f t="shared" si="15"/>
        <v>#DIV/0!</v>
      </c>
      <c r="BJ14"/>
      <c r="BK14" s="26"/>
      <c r="BM14" s="6">
        <f t="shared" ref="BM14:BM16" si="16">BG14-BM13</f>
        <v>141247.65</v>
      </c>
    </row>
    <row r="15" spans="1:65" s="6" customFormat="1" x14ac:dyDescent="0.35">
      <c r="A15" s="43" t="s">
        <v>33</v>
      </c>
      <c r="B15" s="43"/>
      <c r="C15" s="43"/>
      <c r="D15" s="43"/>
      <c r="E15" s="43"/>
      <c r="G15" s="43" t="s">
        <v>33</v>
      </c>
      <c r="H15" s="43"/>
      <c r="I15" s="43"/>
      <c r="J15" s="43"/>
      <c r="L15" s="44" t="s">
        <v>33</v>
      </c>
      <c r="M15" s="44"/>
      <c r="N15" s="44"/>
      <c r="O15" s="44"/>
      <c r="Q15" s="6" t="s">
        <v>33</v>
      </c>
      <c r="R15" s="6">
        <f t="shared" si="7"/>
        <v>0</v>
      </c>
      <c r="S15" s="6">
        <f t="shared" si="8"/>
        <v>0</v>
      </c>
      <c r="Z15" s="7"/>
      <c r="AA15" s="46" t="str">
        <f t="shared" si="0"/>
        <v>13 PetrolRefin</v>
      </c>
      <c r="AB15" s="46">
        <f t="shared" si="0"/>
        <v>0</v>
      </c>
      <c r="AC15" s="46">
        <f t="shared" si="1"/>
        <v>0</v>
      </c>
      <c r="AD15" s="46">
        <f t="shared" si="2"/>
        <v>0</v>
      </c>
      <c r="AE15" s="46">
        <f t="shared" si="3"/>
        <v>0</v>
      </c>
      <c r="AG15" s="41" t="s">
        <v>33</v>
      </c>
      <c r="AH15" s="41"/>
      <c r="AI15" s="41"/>
      <c r="AJ15" s="41"/>
      <c r="AL15" s="47" t="s">
        <v>33</v>
      </c>
      <c r="AM15" s="47"/>
      <c r="AN15" s="47"/>
      <c r="AO15" s="47"/>
      <c r="AQ15" s="6" t="s">
        <v>33</v>
      </c>
      <c r="AR15" s="6">
        <f t="shared" si="4"/>
        <v>0</v>
      </c>
      <c r="AS15" s="6">
        <f t="shared" si="5"/>
        <v>0</v>
      </c>
      <c r="AZ15" s="7"/>
      <c r="BC15" s="12" t="str">
        <f t="shared" si="12"/>
        <v>6 Fishery</v>
      </c>
      <c r="BD15" s="13">
        <f t="shared" si="12"/>
        <v>0</v>
      </c>
      <c r="BE15" s="13">
        <f t="shared" si="12"/>
        <v>0</v>
      </c>
      <c r="BF15" s="14">
        <f t="shared" si="14"/>
        <v>0</v>
      </c>
      <c r="BG15" s="28">
        <f t="shared" si="13"/>
        <v>0</v>
      </c>
      <c r="BH15" s="15" t="e">
        <f>(((BE15/BD15)^(1/($BE$3-$BD$3)))-1)*100</f>
        <v>#DIV/0!</v>
      </c>
      <c r="BI15" s="13" t="e">
        <f t="shared" si="15"/>
        <v>#DIV/0!</v>
      </c>
      <c r="BJ15"/>
      <c r="BK15" s="26"/>
      <c r="BM15" s="6">
        <f t="shared" si="16"/>
        <v>-141247.65</v>
      </c>
    </row>
    <row r="16" spans="1:65" s="6" customFormat="1" x14ac:dyDescent="0.35">
      <c r="A16" s="43" t="s">
        <v>34</v>
      </c>
      <c r="B16" s="43"/>
      <c r="C16" s="43"/>
      <c r="D16" s="43"/>
      <c r="E16" s="43"/>
      <c r="G16" s="43" t="s">
        <v>34</v>
      </c>
      <c r="H16" s="43"/>
      <c r="I16" s="43"/>
      <c r="J16" s="43"/>
      <c r="L16" s="44" t="s">
        <v>34</v>
      </c>
      <c r="M16" s="44"/>
      <c r="N16" s="44"/>
      <c r="O16" s="44"/>
      <c r="Q16" s="6" t="s">
        <v>34</v>
      </c>
      <c r="R16" s="6">
        <f t="shared" si="7"/>
        <v>0</v>
      </c>
      <c r="S16" s="6">
        <f t="shared" si="8"/>
        <v>0</v>
      </c>
      <c r="Z16" s="7"/>
      <c r="AA16" s="46" t="str">
        <f t="shared" si="0"/>
        <v>14 BasChemicals</v>
      </c>
      <c r="AB16" s="46">
        <f t="shared" si="0"/>
        <v>0</v>
      </c>
      <c r="AC16" s="46">
        <f t="shared" si="1"/>
        <v>0</v>
      </c>
      <c r="AD16" s="46">
        <f t="shared" si="2"/>
        <v>0</v>
      </c>
      <c r="AE16" s="46">
        <f t="shared" si="3"/>
        <v>0</v>
      </c>
      <c r="AG16" s="41" t="s">
        <v>34</v>
      </c>
      <c r="AH16" s="41"/>
      <c r="AI16" s="41"/>
      <c r="AJ16" s="41"/>
      <c r="AL16" s="47" t="s">
        <v>34</v>
      </c>
      <c r="AM16" s="47"/>
      <c r="AN16" s="47"/>
      <c r="AO16" s="47"/>
      <c r="AQ16" s="6" t="s">
        <v>34</v>
      </c>
      <c r="AR16" s="6">
        <f t="shared" si="4"/>
        <v>0</v>
      </c>
      <c r="AS16" s="6">
        <f t="shared" si="5"/>
        <v>0</v>
      </c>
      <c r="AZ16" s="7"/>
      <c r="BC16" s="17" t="str">
        <f t="shared" si="12"/>
        <v>10 FoodProds</v>
      </c>
      <c r="BD16" s="18">
        <f t="shared" si="12"/>
        <v>0</v>
      </c>
      <c r="BE16" s="18">
        <f t="shared" si="12"/>
        <v>0</v>
      </c>
      <c r="BF16" s="19">
        <f t="shared" si="14"/>
        <v>0</v>
      </c>
      <c r="BG16" s="48">
        <f t="shared" si="13"/>
        <v>0</v>
      </c>
      <c r="BH16" s="21" t="e">
        <f>(((BE16/BD16)^(1/($BE$3-$BD$3)))-1)*100</f>
        <v>#DIV/0!</v>
      </c>
      <c r="BI16" s="18" t="e">
        <f t="shared" si="15"/>
        <v>#DIV/0!</v>
      </c>
      <c r="BJ16" s="20"/>
      <c r="BK16" s="29"/>
      <c r="BM16" s="6">
        <f t="shared" si="16"/>
        <v>141247.65</v>
      </c>
    </row>
    <row r="17" spans="1:63" s="6" customFormat="1" x14ac:dyDescent="0.35">
      <c r="A17" s="43" t="s">
        <v>35</v>
      </c>
      <c r="B17" s="43"/>
      <c r="C17" s="43"/>
      <c r="D17" s="43"/>
      <c r="E17" s="43"/>
      <c r="G17" s="43" t="s">
        <v>35</v>
      </c>
      <c r="H17" s="43"/>
      <c r="I17" s="43"/>
      <c r="J17" s="43"/>
      <c r="L17" s="44" t="s">
        <v>35</v>
      </c>
      <c r="M17" s="44"/>
      <c r="N17" s="44"/>
      <c r="O17" s="44"/>
      <c r="Q17" s="6" t="s">
        <v>35</v>
      </c>
      <c r="R17" s="6">
        <f t="shared" si="7"/>
        <v>0</v>
      </c>
      <c r="S17" s="6">
        <f t="shared" si="8"/>
        <v>0</v>
      </c>
      <c r="Z17" s="7"/>
      <c r="AA17" s="46" t="str">
        <f t="shared" si="0"/>
        <v>15 Fertilizer</v>
      </c>
      <c r="AB17" s="46">
        <f t="shared" si="0"/>
        <v>0</v>
      </c>
      <c r="AC17" s="46">
        <f t="shared" si="1"/>
        <v>0</v>
      </c>
      <c r="AD17" s="46">
        <f t="shared" si="2"/>
        <v>0</v>
      </c>
      <c r="AE17" s="46">
        <f t="shared" si="3"/>
        <v>0</v>
      </c>
      <c r="AG17" s="41" t="s">
        <v>35</v>
      </c>
      <c r="AH17" s="41"/>
      <c r="AI17" s="41"/>
      <c r="AJ17" s="41"/>
      <c r="AL17" s="47" t="s">
        <v>35</v>
      </c>
      <c r="AM17" s="47"/>
      <c r="AN17" s="47"/>
      <c r="AO17" s="47"/>
      <c r="AQ17" s="6" t="s">
        <v>35</v>
      </c>
      <c r="AR17" s="6">
        <f t="shared" si="4"/>
        <v>0</v>
      </c>
      <c r="AS17" s="6">
        <f t="shared" si="5"/>
        <v>0</v>
      </c>
      <c r="AZ17" s="7"/>
      <c r="BC17"/>
      <c r="BD17" s="30"/>
      <c r="BE17" s="30"/>
      <c r="BF17"/>
      <c r="BG17"/>
      <c r="BH17" s="15"/>
      <c r="BI17" s="30"/>
      <c r="BJ17"/>
      <c r="BK17"/>
    </row>
    <row r="18" spans="1:63" s="6" customFormat="1" x14ac:dyDescent="0.35">
      <c r="A18" s="43" t="s">
        <v>15</v>
      </c>
      <c r="B18" s="43"/>
      <c r="C18" s="43"/>
      <c r="D18" s="43"/>
      <c r="E18" s="43"/>
      <c r="G18" s="43" t="s">
        <v>15</v>
      </c>
      <c r="H18" s="43"/>
      <c r="I18" s="43"/>
      <c r="J18" s="43"/>
      <c r="L18" s="44" t="s">
        <v>15</v>
      </c>
      <c r="M18" s="44"/>
      <c r="N18" s="44"/>
      <c r="O18" s="44"/>
      <c r="Q18" s="6" t="s">
        <v>15</v>
      </c>
      <c r="R18" s="6">
        <f t="shared" si="7"/>
        <v>0</v>
      </c>
      <c r="S18" s="6">
        <f t="shared" si="8"/>
        <v>0</v>
      </c>
      <c r="Z18" s="7"/>
      <c r="AA18" s="46" t="str">
        <f t="shared" si="0"/>
        <v>16 ElectEqp</v>
      </c>
      <c r="AB18" s="46">
        <f t="shared" si="0"/>
        <v>0</v>
      </c>
      <c r="AC18" s="46">
        <f t="shared" si="1"/>
        <v>0</v>
      </c>
      <c r="AD18" s="46">
        <f t="shared" si="2"/>
        <v>0</v>
      </c>
      <c r="AE18" s="46">
        <f t="shared" si="3"/>
        <v>0</v>
      </c>
      <c r="AG18" s="41" t="s">
        <v>15</v>
      </c>
      <c r="AH18" s="41"/>
      <c r="AI18" s="41"/>
      <c r="AJ18" s="41"/>
      <c r="AL18" s="47" t="s">
        <v>15</v>
      </c>
      <c r="AM18" s="47"/>
      <c r="AN18" s="47"/>
      <c r="AO18" s="47"/>
      <c r="AQ18" s="6" t="s">
        <v>15</v>
      </c>
      <c r="AR18" s="6">
        <f t="shared" si="4"/>
        <v>0</v>
      </c>
      <c r="AS18" s="6">
        <f t="shared" si="5"/>
        <v>0</v>
      </c>
      <c r="AZ18" s="7"/>
      <c r="BC18"/>
      <c r="BD18" s="30"/>
      <c r="BE18" s="30"/>
      <c r="BF18"/>
      <c r="BG18"/>
      <c r="BH18" s="15"/>
      <c r="BI18" s="30"/>
      <c r="BJ18"/>
      <c r="BK18"/>
    </row>
    <row r="19" spans="1:63" s="6" customFormat="1" x14ac:dyDescent="0.35">
      <c r="A19" s="43" t="s">
        <v>37</v>
      </c>
      <c r="B19" s="43"/>
      <c r="C19" s="43"/>
      <c r="D19" s="43"/>
      <c r="E19" s="43"/>
      <c r="G19" s="43" t="s">
        <v>37</v>
      </c>
      <c r="H19" s="43"/>
      <c r="I19" s="43"/>
      <c r="J19" s="43"/>
      <c r="L19" s="44" t="s">
        <v>37</v>
      </c>
      <c r="M19" s="44"/>
      <c r="N19" s="44"/>
      <c r="O19" s="44"/>
      <c r="Q19" s="6" t="s">
        <v>37</v>
      </c>
      <c r="R19" s="6">
        <f t="shared" si="7"/>
        <v>0</v>
      </c>
      <c r="S19" s="6">
        <f t="shared" si="8"/>
        <v>0</v>
      </c>
      <c r="Z19" s="7"/>
      <c r="AA19" s="46" t="str">
        <f t="shared" si="0"/>
        <v>17 OthMan</v>
      </c>
      <c r="AB19" s="46">
        <f t="shared" si="0"/>
        <v>0</v>
      </c>
      <c r="AC19" s="46">
        <f t="shared" si="1"/>
        <v>0</v>
      </c>
      <c r="AD19" s="46">
        <f t="shared" si="2"/>
        <v>0</v>
      </c>
      <c r="AE19" s="46">
        <f t="shared" si="3"/>
        <v>0</v>
      </c>
      <c r="AG19" s="41" t="s">
        <v>37</v>
      </c>
      <c r="AH19" s="41"/>
      <c r="AI19" s="41"/>
      <c r="AJ19" s="41"/>
      <c r="AL19" s="47" t="s">
        <v>37</v>
      </c>
      <c r="AM19" s="47"/>
      <c r="AN19" s="47"/>
      <c r="AO19" s="47"/>
      <c r="AQ19" s="6" t="s">
        <v>37</v>
      </c>
      <c r="AR19" s="6">
        <f t="shared" si="4"/>
        <v>0</v>
      </c>
      <c r="AS19" s="6">
        <f t="shared" si="5"/>
        <v>0</v>
      </c>
      <c r="AZ19" s="7"/>
      <c r="BC19"/>
      <c r="BD19" s="30"/>
      <c r="BE19" s="30"/>
      <c r="BF19"/>
      <c r="BG19"/>
      <c r="BH19" s="15"/>
      <c r="BI19" s="30"/>
      <c r="BJ19"/>
      <c r="BK19"/>
    </row>
    <row r="20" spans="1:63" s="6" customFormat="1" x14ac:dyDescent="0.35">
      <c r="A20" s="43" t="s">
        <v>39</v>
      </c>
      <c r="B20" s="43"/>
      <c r="C20" s="43"/>
      <c r="D20" s="43"/>
      <c r="E20" s="43"/>
      <c r="G20" s="43" t="s">
        <v>39</v>
      </c>
      <c r="H20" s="43"/>
      <c r="I20" s="43"/>
      <c r="J20" s="43"/>
      <c r="L20" s="44" t="s">
        <v>39</v>
      </c>
      <c r="M20" s="44"/>
      <c r="N20" s="44"/>
      <c r="O20" s="44"/>
      <c r="Q20" s="6" t="s">
        <v>39</v>
      </c>
      <c r="R20" s="6">
        <f t="shared" si="7"/>
        <v>0</v>
      </c>
      <c r="S20" s="6">
        <f t="shared" si="8"/>
        <v>0</v>
      </c>
      <c r="Z20" s="7"/>
      <c r="AA20" s="46" t="str">
        <f t="shared" si="0"/>
        <v>18 ElecGas</v>
      </c>
      <c r="AB20" s="46">
        <f t="shared" si="0"/>
        <v>0</v>
      </c>
      <c r="AC20" s="46">
        <f t="shared" si="1"/>
        <v>0</v>
      </c>
      <c r="AD20" s="46">
        <f t="shared" si="2"/>
        <v>0</v>
      </c>
      <c r="AE20" s="46">
        <f t="shared" si="3"/>
        <v>0</v>
      </c>
      <c r="AG20" s="41" t="s">
        <v>39</v>
      </c>
      <c r="AH20" s="41"/>
      <c r="AI20" s="41"/>
      <c r="AJ20" s="41"/>
      <c r="AL20" s="47" t="s">
        <v>39</v>
      </c>
      <c r="AM20" s="47"/>
      <c r="AN20" s="47"/>
      <c r="AO20" s="47"/>
      <c r="AQ20" s="6" t="s">
        <v>39</v>
      </c>
      <c r="AR20" s="6">
        <f t="shared" si="4"/>
        <v>0</v>
      </c>
      <c r="AS20" s="6">
        <f t="shared" si="5"/>
        <v>0</v>
      </c>
      <c r="AZ20" s="7"/>
      <c r="BC20"/>
      <c r="BD20" s="30"/>
      <c r="BE20" s="30"/>
      <c r="BF20"/>
      <c r="BG20"/>
      <c r="BH20" s="15"/>
      <c r="BI20" s="30"/>
      <c r="BJ20"/>
      <c r="BK20"/>
    </row>
    <row r="21" spans="1:63" s="6" customFormat="1" x14ac:dyDescent="0.35">
      <c r="A21" s="43" t="s">
        <v>40</v>
      </c>
      <c r="B21" s="43"/>
      <c r="C21" s="43"/>
      <c r="D21" s="43"/>
      <c r="E21" s="43"/>
      <c r="G21" s="43" t="s">
        <v>40</v>
      </c>
      <c r="H21" s="43"/>
      <c r="I21" s="43"/>
      <c r="J21" s="43"/>
      <c r="L21" s="44" t="s">
        <v>40</v>
      </c>
      <c r="M21" s="44"/>
      <c r="N21" s="44"/>
      <c r="O21" s="44"/>
      <c r="Q21" s="6" t="s">
        <v>40</v>
      </c>
      <c r="R21" s="6">
        <f t="shared" si="7"/>
        <v>0</v>
      </c>
      <c r="S21" s="6">
        <f t="shared" si="8"/>
        <v>0</v>
      </c>
      <c r="Z21" s="7"/>
      <c r="AA21" s="46" t="str">
        <f t="shared" si="0"/>
        <v>19 OthUtil</v>
      </c>
      <c r="AB21" s="46">
        <f t="shared" si="0"/>
        <v>0</v>
      </c>
      <c r="AC21" s="46">
        <f t="shared" si="1"/>
        <v>0</v>
      </c>
      <c r="AD21" s="46">
        <f t="shared" si="2"/>
        <v>0</v>
      </c>
      <c r="AE21" s="46">
        <f t="shared" si="3"/>
        <v>0</v>
      </c>
      <c r="AG21" s="41" t="s">
        <v>40</v>
      </c>
      <c r="AH21" s="41"/>
      <c r="AI21" s="41"/>
      <c r="AJ21" s="41"/>
      <c r="AL21" s="47" t="s">
        <v>40</v>
      </c>
      <c r="AM21" s="47"/>
      <c r="AN21" s="47"/>
      <c r="AO21" s="47"/>
      <c r="AQ21" s="6" t="s">
        <v>40</v>
      </c>
      <c r="AR21" s="6">
        <f t="shared" si="4"/>
        <v>0</v>
      </c>
      <c r="AS21" s="6">
        <f t="shared" si="5"/>
        <v>0</v>
      </c>
      <c r="AZ21" s="7"/>
      <c r="BC21"/>
      <c r="BD21" s="30"/>
      <c r="BE21" s="30"/>
      <c r="BF21"/>
      <c r="BG21"/>
      <c r="BH21" s="15"/>
      <c r="BI21" s="30"/>
      <c r="BJ21"/>
      <c r="BK21"/>
    </row>
    <row r="22" spans="1:63" s="6" customFormat="1" x14ac:dyDescent="0.35">
      <c r="A22" s="43" t="s">
        <v>41</v>
      </c>
      <c r="B22" s="43"/>
      <c r="C22" s="43"/>
      <c r="D22" s="43"/>
      <c r="E22" s="43"/>
      <c r="G22" s="43" t="s">
        <v>41</v>
      </c>
      <c r="H22" s="43"/>
      <c r="I22" s="43"/>
      <c r="J22" s="43"/>
      <c r="L22" s="44" t="s">
        <v>41</v>
      </c>
      <c r="M22" s="44"/>
      <c r="N22" s="44"/>
      <c r="O22" s="44"/>
      <c r="Q22" s="6" t="s">
        <v>41</v>
      </c>
      <c r="R22" s="6">
        <f t="shared" si="7"/>
        <v>0</v>
      </c>
      <c r="S22" s="6">
        <f t="shared" si="8"/>
        <v>0</v>
      </c>
      <c r="Z22" s="7"/>
      <c r="AA22" s="46" t="str">
        <f t="shared" si="0"/>
        <v>20 Construction</v>
      </c>
      <c r="AB22" s="46">
        <f t="shared" si="0"/>
        <v>0</v>
      </c>
      <c r="AC22" s="46">
        <f t="shared" si="1"/>
        <v>0</v>
      </c>
      <c r="AD22" s="46">
        <f t="shared" si="2"/>
        <v>0</v>
      </c>
      <c r="AE22" s="46">
        <f t="shared" si="3"/>
        <v>0</v>
      </c>
      <c r="AG22" s="41" t="s">
        <v>41</v>
      </c>
      <c r="AH22" s="41"/>
      <c r="AI22" s="41"/>
      <c r="AJ22" s="41"/>
      <c r="AL22" s="47" t="s">
        <v>41</v>
      </c>
      <c r="AM22" s="47"/>
      <c r="AN22" s="47"/>
      <c r="AO22" s="47"/>
      <c r="AQ22" s="6" t="s">
        <v>41</v>
      </c>
      <c r="AR22" s="6">
        <f t="shared" si="4"/>
        <v>0</v>
      </c>
      <c r="AS22" s="6">
        <f t="shared" si="5"/>
        <v>0</v>
      </c>
      <c r="AZ22" s="7"/>
      <c r="BC22"/>
      <c r="BD22" s="30"/>
      <c r="BE22" s="30"/>
      <c r="BF22"/>
      <c r="BG22"/>
      <c r="BH22" s="15"/>
      <c r="BI22" s="30"/>
      <c r="BJ22"/>
      <c r="BK22"/>
    </row>
    <row r="23" spans="1:63" s="6" customFormat="1" x14ac:dyDescent="0.35">
      <c r="A23" s="43" t="s">
        <v>42</v>
      </c>
      <c r="B23" s="43"/>
      <c r="C23" s="43"/>
      <c r="D23" s="43"/>
      <c r="E23" s="43"/>
      <c r="G23" s="43" t="s">
        <v>42</v>
      </c>
      <c r="H23" s="43"/>
      <c r="I23" s="43"/>
      <c r="J23" s="43"/>
      <c r="L23" s="44" t="s">
        <v>42</v>
      </c>
      <c r="M23" s="44"/>
      <c r="N23" s="44"/>
      <c r="O23" s="44"/>
      <c r="Q23" s="6" t="s">
        <v>42</v>
      </c>
      <c r="R23" s="6">
        <f t="shared" si="7"/>
        <v>0</v>
      </c>
      <c r="S23" s="6">
        <f t="shared" si="8"/>
        <v>0</v>
      </c>
      <c r="Z23" s="7"/>
      <c r="AA23" s="46" t="str">
        <f t="shared" si="0"/>
        <v>21 Trade</v>
      </c>
      <c r="AB23" s="46">
        <f t="shared" si="0"/>
        <v>0</v>
      </c>
      <c r="AC23" s="46">
        <f t="shared" si="1"/>
        <v>0</v>
      </c>
      <c r="AD23" s="46">
        <f t="shared" si="2"/>
        <v>0</v>
      </c>
      <c r="AE23" s="46">
        <f t="shared" si="3"/>
        <v>0</v>
      </c>
      <c r="AG23" s="41" t="s">
        <v>42</v>
      </c>
      <c r="AH23" s="41"/>
      <c r="AI23" s="41"/>
      <c r="AJ23" s="41"/>
      <c r="AL23" s="47" t="s">
        <v>42</v>
      </c>
      <c r="AM23" s="47"/>
      <c r="AN23" s="47"/>
      <c r="AO23" s="47"/>
      <c r="AQ23" s="6" t="s">
        <v>42</v>
      </c>
      <c r="AR23" s="6">
        <f t="shared" si="4"/>
        <v>0</v>
      </c>
      <c r="AS23" s="6">
        <f t="shared" si="5"/>
        <v>0</v>
      </c>
      <c r="AZ23" s="7"/>
      <c r="BC23"/>
      <c r="BD23" s="30"/>
      <c r="BE23" s="30"/>
      <c r="BF23"/>
      <c r="BG23"/>
      <c r="BH23" s="15"/>
      <c r="BI23" s="30"/>
      <c r="BJ23"/>
      <c r="BK23"/>
    </row>
    <row r="24" spans="1:63" s="6" customFormat="1" x14ac:dyDescent="0.35">
      <c r="A24" s="43" t="s">
        <v>43</v>
      </c>
      <c r="B24" s="43"/>
      <c r="C24" s="43"/>
      <c r="D24" s="43"/>
      <c r="E24" s="43"/>
      <c r="G24" s="43" t="s">
        <v>43</v>
      </c>
      <c r="H24" s="43"/>
      <c r="I24" s="43"/>
      <c r="J24" s="43"/>
      <c r="L24" s="44" t="s">
        <v>43</v>
      </c>
      <c r="M24" s="44"/>
      <c r="N24" s="44"/>
      <c r="O24" s="44"/>
      <c r="Q24" s="6" t="s">
        <v>43</v>
      </c>
      <c r="R24" s="6">
        <f t="shared" si="7"/>
        <v>0</v>
      </c>
      <c r="S24" s="6">
        <f t="shared" si="8"/>
        <v>0</v>
      </c>
      <c r="Z24" s="7"/>
      <c r="AA24" s="46" t="str">
        <f t="shared" si="0"/>
        <v>22 LandRailTr</v>
      </c>
      <c r="AB24" s="46">
        <f t="shared" si="0"/>
        <v>0</v>
      </c>
      <c r="AC24" s="46">
        <f t="shared" si="1"/>
        <v>0</v>
      </c>
      <c r="AD24" s="46">
        <f t="shared" si="2"/>
        <v>0</v>
      </c>
      <c r="AE24" s="46">
        <f t="shared" si="3"/>
        <v>0</v>
      </c>
      <c r="AG24" s="41" t="s">
        <v>43</v>
      </c>
      <c r="AH24" s="41"/>
      <c r="AI24" s="41"/>
      <c r="AJ24" s="41"/>
      <c r="AL24" s="47" t="s">
        <v>43</v>
      </c>
      <c r="AM24" s="47"/>
      <c r="AN24" s="47"/>
      <c r="AO24" s="47"/>
      <c r="AQ24" s="6" t="s">
        <v>43</v>
      </c>
      <c r="AR24" s="6">
        <f t="shared" si="4"/>
        <v>0</v>
      </c>
      <c r="AS24" s="6">
        <f t="shared" si="5"/>
        <v>0</v>
      </c>
      <c r="AZ24" s="7"/>
      <c r="BC24"/>
      <c r="BD24" s="30"/>
      <c r="BE24" s="30"/>
      <c r="BF24"/>
      <c r="BG24"/>
      <c r="BH24" s="15"/>
      <c r="BI24" s="30"/>
      <c r="BJ24"/>
      <c r="BK24"/>
    </row>
    <row r="25" spans="1:63" s="6" customFormat="1" x14ac:dyDescent="0.35">
      <c r="A25" s="43" t="s">
        <v>44</v>
      </c>
      <c r="B25" s="43"/>
      <c r="C25" s="43"/>
      <c r="D25" s="43"/>
      <c r="E25" s="43"/>
      <c r="G25" s="43" t="s">
        <v>44</v>
      </c>
      <c r="H25" s="43"/>
      <c r="I25" s="43"/>
      <c r="J25" s="43"/>
      <c r="L25" s="44" t="s">
        <v>44</v>
      </c>
      <c r="M25" s="44"/>
      <c r="N25" s="44"/>
      <c r="O25" s="44"/>
      <c r="Q25" s="6" t="s">
        <v>44</v>
      </c>
      <c r="R25" s="6">
        <f t="shared" si="7"/>
        <v>0</v>
      </c>
      <c r="S25" s="6">
        <f t="shared" si="8"/>
        <v>0</v>
      </c>
      <c r="Z25" s="7"/>
      <c r="AA25" s="46" t="str">
        <f t="shared" si="0"/>
        <v>23 SeaRiverTr</v>
      </c>
      <c r="AB25" s="46">
        <f t="shared" si="0"/>
        <v>0</v>
      </c>
      <c r="AC25" s="46">
        <f t="shared" si="1"/>
        <v>0</v>
      </c>
      <c r="AD25" s="46">
        <f t="shared" si="2"/>
        <v>0</v>
      </c>
      <c r="AE25" s="46">
        <f t="shared" si="3"/>
        <v>0</v>
      </c>
      <c r="AG25" s="41" t="s">
        <v>44</v>
      </c>
      <c r="AH25" s="41"/>
      <c r="AI25" s="41"/>
      <c r="AJ25" s="41"/>
      <c r="AL25" s="47" t="s">
        <v>44</v>
      </c>
      <c r="AM25" s="47"/>
      <c r="AN25" s="47"/>
      <c r="AO25" s="47"/>
      <c r="AQ25" s="6" t="s">
        <v>44</v>
      </c>
      <c r="AR25" s="6">
        <f t="shared" si="4"/>
        <v>0</v>
      </c>
      <c r="AS25" s="6">
        <f t="shared" si="5"/>
        <v>0</v>
      </c>
      <c r="AZ25" s="7"/>
      <c r="BC25"/>
      <c r="BD25" s="30"/>
      <c r="BE25" s="30"/>
      <c r="BF25"/>
      <c r="BG25"/>
      <c r="BH25" s="15"/>
      <c r="BI25" s="30"/>
      <c r="BJ25"/>
      <c r="BK25"/>
    </row>
    <row r="26" spans="1:63" s="6" customFormat="1" x14ac:dyDescent="0.35">
      <c r="A26" s="43" t="s">
        <v>45</v>
      </c>
      <c r="B26" s="43"/>
      <c r="C26" s="43"/>
      <c r="D26" s="43"/>
      <c r="E26" s="43"/>
      <c r="G26" s="43" t="s">
        <v>45</v>
      </c>
      <c r="H26" s="43"/>
      <c r="I26" s="43"/>
      <c r="J26" s="43"/>
      <c r="L26" s="44" t="s">
        <v>45</v>
      </c>
      <c r="M26" s="44"/>
      <c r="N26" s="44"/>
      <c r="O26" s="44"/>
      <c r="Q26" s="6" t="s">
        <v>45</v>
      </c>
      <c r="R26" s="6">
        <f t="shared" si="7"/>
        <v>0</v>
      </c>
      <c r="S26" s="6">
        <f t="shared" si="8"/>
        <v>0</v>
      </c>
      <c r="Z26" s="7"/>
      <c r="AA26" s="46" t="str">
        <f t="shared" si="0"/>
        <v>24 AirTransport</v>
      </c>
      <c r="AB26" s="46">
        <f t="shared" si="0"/>
        <v>0</v>
      </c>
      <c r="AC26" s="46">
        <f t="shared" si="1"/>
        <v>0</v>
      </c>
      <c r="AD26" s="46">
        <f t="shared" si="2"/>
        <v>0</v>
      </c>
      <c r="AE26" s="46">
        <f t="shared" si="3"/>
        <v>0</v>
      </c>
      <c r="AG26" s="41" t="s">
        <v>45</v>
      </c>
      <c r="AH26" s="41"/>
      <c r="AI26" s="41"/>
      <c r="AJ26" s="41"/>
      <c r="AL26" s="47" t="s">
        <v>45</v>
      </c>
      <c r="AM26" s="47"/>
      <c r="AN26" s="47"/>
      <c r="AO26" s="47"/>
      <c r="AQ26" s="6" t="s">
        <v>45</v>
      </c>
      <c r="AR26" s="6">
        <f t="shared" si="4"/>
        <v>0</v>
      </c>
      <c r="AS26" s="6">
        <f t="shared" si="5"/>
        <v>0</v>
      </c>
      <c r="AZ26" s="7"/>
    </row>
    <row r="27" spans="1:63" s="6" customFormat="1" x14ac:dyDescent="0.35">
      <c r="A27" s="43" t="s">
        <v>46</v>
      </c>
      <c r="B27" s="43"/>
      <c r="C27" s="43"/>
      <c r="D27" s="43"/>
      <c r="E27" s="43"/>
      <c r="G27" s="43" t="s">
        <v>46</v>
      </c>
      <c r="H27" s="43"/>
      <c r="I27" s="43"/>
      <c r="J27" s="43"/>
      <c r="L27" s="44" t="s">
        <v>46</v>
      </c>
      <c r="M27" s="44"/>
      <c r="N27" s="44"/>
      <c r="O27" s="44"/>
      <c r="Q27" s="6" t="s">
        <v>46</v>
      </c>
      <c r="R27" s="6">
        <f t="shared" si="7"/>
        <v>0</v>
      </c>
      <c r="S27" s="6">
        <f t="shared" si="8"/>
        <v>0</v>
      </c>
      <c r="Z27" s="7"/>
      <c r="AA27" s="46" t="str">
        <f t="shared" si="0"/>
        <v>25 OthTrans</v>
      </c>
      <c r="AB27" s="46">
        <f t="shared" si="0"/>
        <v>0</v>
      </c>
      <c r="AC27" s="46">
        <f t="shared" si="1"/>
        <v>0</v>
      </c>
      <c r="AD27" s="46">
        <f t="shared" si="2"/>
        <v>0</v>
      </c>
      <c r="AE27" s="46">
        <f t="shared" si="3"/>
        <v>0</v>
      </c>
      <c r="AG27" s="41" t="s">
        <v>46</v>
      </c>
      <c r="AH27" s="41"/>
      <c r="AI27" s="41"/>
      <c r="AJ27" s="41"/>
      <c r="AL27" s="47" t="s">
        <v>46</v>
      </c>
      <c r="AM27" s="47"/>
      <c r="AN27" s="47"/>
      <c r="AO27" s="47"/>
      <c r="AQ27" s="6" t="s">
        <v>46</v>
      </c>
      <c r="AR27" s="6">
        <f t="shared" si="4"/>
        <v>0</v>
      </c>
      <c r="AS27" s="6">
        <f t="shared" si="5"/>
        <v>0</v>
      </c>
      <c r="AZ27" s="7"/>
    </row>
    <row r="28" spans="1:63" s="6" customFormat="1" x14ac:dyDescent="0.35">
      <c r="A28" s="43" t="s">
        <v>47</v>
      </c>
      <c r="B28" s="43"/>
      <c r="C28" s="43"/>
      <c r="D28" s="43"/>
      <c r="E28" s="43"/>
      <c r="G28" s="43" t="s">
        <v>47</v>
      </c>
      <c r="H28" s="43"/>
      <c r="I28" s="43"/>
      <c r="J28" s="43"/>
      <c r="L28" s="44" t="s">
        <v>47</v>
      </c>
      <c r="M28" s="44"/>
      <c r="N28" s="44"/>
      <c r="O28" s="44"/>
      <c r="Q28" s="6" t="s">
        <v>47</v>
      </c>
      <c r="R28" s="6">
        <f t="shared" si="7"/>
        <v>0</v>
      </c>
      <c r="S28" s="6">
        <f t="shared" si="8"/>
        <v>0</v>
      </c>
      <c r="Z28" s="7"/>
      <c r="AA28" s="46" t="str">
        <f t="shared" si="0"/>
        <v>26 Telecommunic</v>
      </c>
      <c r="AB28" s="46">
        <f t="shared" si="0"/>
        <v>0</v>
      </c>
      <c r="AC28" s="46">
        <f t="shared" si="1"/>
        <v>0</v>
      </c>
      <c r="AD28" s="46">
        <f t="shared" si="2"/>
        <v>0</v>
      </c>
      <c r="AE28" s="46">
        <f t="shared" si="3"/>
        <v>0</v>
      </c>
      <c r="AG28" s="41" t="s">
        <v>47</v>
      </c>
      <c r="AH28" s="41"/>
      <c r="AI28" s="41"/>
      <c r="AJ28" s="41"/>
      <c r="AL28" s="47" t="s">
        <v>47</v>
      </c>
      <c r="AM28" s="47"/>
      <c r="AN28" s="47"/>
      <c r="AO28" s="47"/>
      <c r="AQ28" s="6" t="s">
        <v>47</v>
      </c>
      <c r="AR28" s="6">
        <f t="shared" si="4"/>
        <v>0</v>
      </c>
      <c r="AS28" s="6">
        <f t="shared" si="5"/>
        <v>0</v>
      </c>
      <c r="AZ28" s="7"/>
    </row>
    <row r="29" spans="1:63" s="6" customFormat="1" x14ac:dyDescent="0.35">
      <c r="A29" s="43" t="s">
        <v>22</v>
      </c>
      <c r="B29" s="43"/>
      <c r="C29" s="43"/>
      <c r="D29" s="43"/>
      <c r="E29" s="43"/>
      <c r="G29" s="43" t="s">
        <v>22</v>
      </c>
      <c r="H29" s="43"/>
      <c r="I29" s="43"/>
      <c r="J29" s="43"/>
      <c r="L29" s="44" t="s">
        <v>22</v>
      </c>
      <c r="M29" s="44"/>
      <c r="N29" s="44"/>
      <c r="O29" s="44"/>
      <c r="Q29" s="6" t="s">
        <v>22</v>
      </c>
      <c r="R29" s="6">
        <f t="shared" si="7"/>
        <v>0</v>
      </c>
      <c r="S29" s="6">
        <f t="shared" si="8"/>
        <v>0</v>
      </c>
      <c r="Z29" s="7"/>
      <c r="AA29" s="46" t="str">
        <f t="shared" si="0"/>
        <v>27 InformatTech</v>
      </c>
      <c r="AB29" s="46">
        <f t="shared" si="0"/>
        <v>0</v>
      </c>
      <c r="AC29" s="46">
        <f t="shared" si="1"/>
        <v>0</v>
      </c>
      <c r="AD29" s="46">
        <f t="shared" si="2"/>
        <v>0</v>
      </c>
      <c r="AE29" s="46">
        <f t="shared" si="3"/>
        <v>0</v>
      </c>
      <c r="AG29" s="41" t="s">
        <v>22</v>
      </c>
      <c r="AH29" s="41"/>
      <c r="AI29" s="41"/>
      <c r="AJ29" s="41"/>
      <c r="AL29" s="47" t="s">
        <v>22</v>
      </c>
      <c r="AM29" s="47"/>
      <c r="AN29" s="47"/>
      <c r="AO29" s="47"/>
      <c r="AQ29" s="6" t="s">
        <v>22</v>
      </c>
      <c r="AR29" s="6">
        <f t="shared" si="4"/>
        <v>0</v>
      </c>
      <c r="AS29" s="6">
        <f t="shared" si="5"/>
        <v>0</v>
      </c>
      <c r="AZ29" s="7"/>
    </row>
    <row r="30" spans="1:63" s="6" customFormat="1" x14ac:dyDescent="0.35">
      <c r="A30" s="43" t="s">
        <v>20</v>
      </c>
      <c r="B30" s="43"/>
      <c r="C30" s="43"/>
      <c r="D30" s="43"/>
      <c r="E30" s="43"/>
      <c r="G30" s="43" t="s">
        <v>20</v>
      </c>
      <c r="H30" s="43"/>
      <c r="I30" s="43"/>
      <c r="J30" s="43"/>
      <c r="L30" s="44" t="s">
        <v>20</v>
      </c>
      <c r="M30" s="44"/>
      <c r="N30" s="44"/>
      <c r="O30" s="44"/>
      <c r="Q30" s="6" t="s">
        <v>20</v>
      </c>
      <c r="R30" s="6">
        <f t="shared" si="7"/>
        <v>0</v>
      </c>
      <c r="S30" s="6">
        <f t="shared" si="8"/>
        <v>0</v>
      </c>
      <c r="Z30" s="7"/>
      <c r="AA30" s="46" t="str">
        <f t="shared" si="0"/>
        <v>28 Banking</v>
      </c>
      <c r="AB30" s="46">
        <f t="shared" si="0"/>
        <v>0</v>
      </c>
      <c r="AC30" s="46">
        <f t="shared" si="1"/>
        <v>0</v>
      </c>
      <c r="AD30" s="46">
        <f t="shared" si="2"/>
        <v>0</v>
      </c>
      <c r="AE30" s="46">
        <f t="shared" si="3"/>
        <v>0</v>
      </c>
      <c r="AG30" s="41" t="s">
        <v>20</v>
      </c>
      <c r="AH30" s="41"/>
      <c r="AI30" s="41"/>
      <c r="AJ30" s="41"/>
      <c r="AL30" s="47" t="s">
        <v>20</v>
      </c>
      <c r="AM30" s="47"/>
      <c r="AN30" s="47"/>
      <c r="AO30" s="47"/>
      <c r="AQ30" s="6" t="s">
        <v>20</v>
      </c>
      <c r="AR30" s="6">
        <f t="shared" si="4"/>
        <v>0</v>
      </c>
      <c r="AS30" s="6">
        <f t="shared" si="5"/>
        <v>0</v>
      </c>
      <c r="AZ30" s="7"/>
    </row>
    <row r="31" spans="1:63" s="6" customFormat="1" x14ac:dyDescent="0.35">
      <c r="A31" s="43" t="s">
        <v>50</v>
      </c>
      <c r="B31" s="43"/>
      <c r="C31" s="43"/>
      <c r="D31" s="43"/>
      <c r="E31" s="43"/>
      <c r="G31" s="43" t="s">
        <v>50</v>
      </c>
      <c r="H31" s="43"/>
      <c r="I31" s="43"/>
      <c r="J31" s="43"/>
      <c r="L31" s="44" t="s">
        <v>50</v>
      </c>
      <c r="M31" s="44"/>
      <c r="N31" s="44"/>
      <c r="O31" s="44"/>
      <c r="Q31" s="6" t="s">
        <v>50</v>
      </c>
      <c r="R31" s="6">
        <f t="shared" si="7"/>
        <v>0</v>
      </c>
      <c r="S31" s="6">
        <f t="shared" si="8"/>
        <v>0</v>
      </c>
      <c r="Z31" s="7"/>
      <c r="AA31" s="46" t="str">
        <f t="shared" si="0"/>
        <v>29 RealEstate</v>
      </c>
      <c r="AB31" s="46">
        <f t="shared" si="0"/>
        <v>0</v>
      </c>
      <c r="AC31" s="46">
        <f t="shared" si="1"/>
        <v>0</v>
      </c>
      <c r="AD31" s="46">
        <f t="shared" si="2"/>
        <v>0</v>
      </c>
      <c r="AE31" s="46">
        <f t="shared" si="3"/>
        <v>0</v>
      </c>
      <c r="AG31" s="41" t="s">
        <v>50</v>
      </c>
      <c r="AH31" s="41"/>
      <c r="AI31" s="41"/>
      <c r="AJ31" s="41"/>
      <c r="AL31" s="47" t="s">
        <v>50</v>
      </c>
      <c r="AM31" s="47"/>
      <c r="AN31" s="47"/>
      <c r="AO31" s="47"/>
      <c r="AQ31" s="6" t="s">
        <v>50</v>
      </c>
      <c r="AR31" s="6">
        <f t="shared" si="4"/>
        <v>0</v>
      </c>
      <c r="AS31" s="6">
        <f t="shared" si="5"/>
        <v>0</v>
      </c>
      <c r="AZ31" s="7"/>
    </row>
    <row r="32" spans="1:63" s="6" customFormat="1" x14ac:dyDescent="0.35">
      <c r="A32" s="43" t="s">
        <v>51</v>
      </c>
      <c r="B32" s="43"/>
      <c r="C32" s="43"/>
      <c r="D32" s="43"/>
      <c r="E32" s="43"/>
      <c r="G32" s="43" t="s">
        <v>51</v>
      </c>
      <c r="H32" s="43"/>
      <c r="I32" s="43"/>
      <c r="J32" s="43"/>
      <c r="L32" s="44" t="s">
        <v>51</v>
      </c>
      <c r="M32" s="44"/>
      <c r="N32" s="44"/>
      <c r="O32" s="44"/>
      <c r="Q32" s="6" t="s">
        <v>51</v>
      </c>
      <c r="R32" s="6">
        <f t="shared" si="7"/>
        <v>0</v>
      </c>
      <c r="S32" s="6">
        <f t="shared" si="8"/>
        <v>0</v>
      </c>
      <c r="Z32" s="7"/>
      <c r="AA32" s="46" t="str">
        <f t="shared" si="0"/>
        <v>30 OthServices</v>
      </c>
      <c r="AB32" s="46">
        <f t="shared" si="0"/>
        <v>0</v>
      </c>
      <c r="AC32" s="46">
        <f t="shared" si="1"/>
        <v>0</v>
      </c>
      <c r="AD32" s="46">
        <f t="shared" si="2"/>
        <v>0</v>
      </c>
      <c r="AE32" s="46">
        <f t="shared" si="3"/>
        <v>0</v>
      </c>
      <c r="AG32" s="41" t="s">
        <v>51</v>
      </c>
      <c r="AH32" s="41"/>
      <c r="AI32" s="41"/>
      <c r="AJ32" s="41"/>
      <c r="AL32" s="47" t="s">
        <v>51</v>
      </c>
      <c r="AM32" s="47"/>
      <c r="AN32" s="47"/>
      <c r="AO32" s="47"/>
      <c r="AQ32" s="6" t="s">
        <v>51</v>
      </c>
      <c r="AR32" s="6">
        <f t="shared" si="4"/>
        <v>0</v>
      </c>
      <c r="AS32" s="6">
        <f t="shared" si="5"/>
        <v>0</v>
      </c>
      <c r="AZ32" s="7"/>
    </row>
    <row r="33" spans="1:60" s="6" customFormat="1" x14ac:dyDescent="0.35">
      <c r="A33" s="43" t="s">
        <v>9</v>
      </c>
      <c r="B33" s="43"/>
      <c r="C33" s="43"/>
      <c r="D33" s="43"/>
      <c r="E33" s="43"/>
      <c r="Q33" s="6" t="s">
        <v>9</v>
      </c>
      <c r="R33" s="6">
        <f t="shared" si="7"/>
        <v>0</v>
      </c>
      <c r="S33" s="6">
        <f t="shared" si="8"/>
        <v>0</v>
      </c>
      <c r="Z33" s="7"/>
      <c r="AA33" s="46" t="str">
        <f t="shared" si="0"/>
        <v>Total</v>
      </c>
      <c r="AB33" s="46">
        <f t="shared" si="0"/>
        <v>0</v>
      </c>
      <c r="AC33" s="46">
        <f t="shared" si="1"/>
        <v>0</v>
      </c>
      <c r="AD33" s="46">
        <f t="shared" si="2"/>
        <v>0</v>
      </c>
      <c r="AE33" s="46">
        <f t="shared" si="3"/>
        <v>0</v>
      </c>
      <c r="AQ33" s="6" t="s">
        <v>9</v>
      </c>
      <c r="AR33" s="6">
        <f t="shared" si="4"/>
        <v>0</v>
      </c>
      <c r="AS33" s="6">
        <f t="shared" si="5"/>
        <v>0</v>
      </c>
      <c r="AZ33" s="7"/>
    </row>
    <row r="34" spans="1:60" x14ac:dyDescent="0.35">
      <c r="Z34" s="4"/>
      <c r="AZ34" s="4"/>
      <c r="BC34" s="6"/>
      <c r="BD34" s="6"/>
      <c r="BE34" s="6"/>
      <c r="BF34" s="6"/>
      <c r="BG34" s="6"/>
      <c r="BH34" s="6"/>
    </row>
    <row r="35" spans="1:60" x14ac:dyDescent="0.35">
      <c r="BC35" s="35"/>
      <c r="BD35" s="6"/>
      <c r="BF35" s="6"/>
      <c r="BG35" s="6"/>
    </row>
    <row r="36" spans="1:60" x14ac:dyDescent="0.35">
      <c r="BC36" s="35"/>
      <c r="BD36" s="6"/>
      <c r="BF36" s="6"/>
      <c r="BG36" s="6"/>
    </row>
    <row r="37" spans="1:60" x14ac:dyDescent="0.35">
      <c r="BC37" s="35"/>
      <c r="BD37" s="6"/>
      <c r="BF37" s="6"/>
      <c r="BG37" s="6"/>
    </row>
    <row r="38" spans="1:60" x14ac:dyDescent="0.35">
      <c r="BC38" s="35"/>
      <c r="BD38" s="6"/>
      <c r="BF38" s="6"/>
      <c r="BG38" s="6"/>
    </row>
    <row r="41" spans="1:60" x14ac:dyDescent="0.35">
      <c r="BD41" s="6"/>
    </row>
    <row r="42" spans="1:60" ht="18.5" x14ac:dyDescent="0.45">
      <c r="BD42" s="38"/>
    </row>
    <row r="43" spans="1:60" x14ac:dyDescent="0.35">
      <c r="BC43" s="39"/>
    </row>
    <row r="44" spans="1:60" ht="18.5" x14ac:dyDescent="0.45">
      <c r="BC44" s="38"/>
    </row>
  </sheetData>
  <mergeCells count="1">
    <mergeCell ref="BC1:B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C1C3-D1CB-42F4-8985-D978842F72F5}">
  <dimension ref="A1:BM44"/>
  <sheetViews>
    <sheetView topLeftCell="K1" zoomScale="85" zoomScaleNormal="85" workbookViewId="0">
      <selection activeCell="K1" sqref="K1"/>
    </sheetView>
  </sheetViews>
  <sheetFormatPr defaultRowHeight="14.5" outlineLevelCol="2" x14ac:dyDescent="0.35"/>
  <cols>
    <col min="1" max="1" width="23.36328125" hidden="1" customWidth="1" outlineLevel="1"/>
    <col min="2" max="2" width="10.54296875" hidden="1" customWidth="1" outlineLevel="1"/>
    <col min="3" max="3" width="12.1796875" hidden="1" customWidth="1" outlineLevel="2"/>
    <col min="4" max="5" width="13.26953125" hidden="1" customWidth="1" outlineLevel="2"/>
    <col min="6" max="6" width="10.1796875" hidden="1" customWidth="1" outlineLevel="1"/>
    <col min="7" max="7" width="20.90625" hidden="1" customWidth="1" outlineLevel="1"/>
    <col min="8" max="8" width="8.453125" hidden="1" customWidth="1" outlineLevel="1"/>
    <col min="9" max="9" width="6" hidden="1" customWidth="1" outlineLevel="1"/>
    <col min="10" max="10" width="5.7265625" hidden="1" customWidth="1" outlineLevel="1"/>
    <col min="11" max="11" width="1.90625" customWidth="1" collapsed="1"/>
    <col min="12" max="12" width="20.90625" bestFit="1" customWidth="1"/>
    <col min="13" max="13" width="8.453125" bestFit="1" customWidth="1"/>
    <col min="14" max="15" width="6.81640625" hidden="1" customWidth="1" outlineLevel="1"/>
    <col min="16" max="16" width="5" hidden="1" customWidth="1" outlineLevel="1" collapsed="1"/>
    <col min="17" max="17" width="15.453125" hidden="1" customWidth="1" outlineLevel="1"/>
    <col min="18" max="19" width="10.54296875" hidden="1" customWidth="1" outlineLevel="1"/>
    <col min="20" max="20" width="15.453125" hidden="1" customWidth="1" outlineLevel="1"/>
    <col min="21" max="21" width="14.81640625" hidden="1" customWidth="1" outlineLevel="1"/>
    <col min="22" max="22" width="9.54296875" hidden="1" customWidth="1" outlineLevel="1"/>
    <col min="23" max="23" width="10.54296875" hidden="1" customWidth="1" outlineLevel="1"/>
    <col min="24" max="25" width="8.7265625" hidden="1" customWidth="1" outlineLevel="1"/>
    <col min="26" max="26" width="2.08984375" customWidth="1" collapsed="1"/>
    <col min="27" max="27" width="23.36328125" hidden="1" customWidth="1" outlineLevel="1"/>
    <col min="28" max="28" width="10.54296875" hidden="1" customWidth="1" outlineLevel="1"/>
    <col min="29" max="29" width="12.1796875" hidden="1" customWidth="1" outlineLevel="2"/>
    <col min="30" max="31" width="13.26953125" hidden="1" customWidth="1" outlineLevel="2"/>
    <col min="32" max="32" width="10.1796875" hidden="1" customWidth="1" outlineLevel="1"/>
    <col min="33" max="33" width="18.81640625" hidden="1" customWidth="1" outlineLevel="1"/>
    <col min="34" max="34" width="8.453125" hidden="1" customWidth="1" outlineLevel="1"/>
    <col min="35" max="35" width="6" hidden="1" customWidth="1" outlineLevel="1"/>
    <col min="36" max="36" width="5.7265625" hidden="1" customWidth="1" outlineLevel="1"/>
    <col min="37" max="37" width="1.6328125" customWidth="1" collapsed="1"/>
    <col min="38" max="38" width="18.81640625" bestFit="1" customWidth="1"/>
    <col min="39" max="39" width="8.453125" bestFit="1" customWidth="1"/>
    <col min="40" max="41" width="8.453125" hidden="1" customWidth="1" outlineLevel="1"/>
    <col min="42" max="42" width="3.26953125" hidden="1" customWidth="1" outlineLevel="1" collapsed="1"/>
    <col min="43" max="43" width="15.453125" hidden="1" customWidth="1" outlineLevel="1"/>
    <col min="44" max="44" width="10.54296875" hidden="1" customWidth="1" outlineLevel="1"/>
    <col min="45" max="45" width="12.1796875" hidden="1" customWidth="1" outlineLevel="1"/>
    <col min="46" max="46" width="15.453125" hidden="1" customWidth="1" outlineLevel="1"/>
    <col min="47" max="47" width="14.81640625" hidden="1" customWidth="1" outlineLevel="1"/>
    <col min="48" max="48" width="9.54296875" hidden="1" customWidth="1" outlineLevel="1"/>
    <col min="49" max="49" width="12.1796875" hidden="1" customWidth="1" outlineLevel="1"/>
    <col min="50" max="51" width="8.7265625" hidden="1" customWidth="1" outlineLevel="1"/>
    <col min="52" max="52" width="2.453125" customWidth="1" collapsed="1"/>
    <col min="53" max="54" width="3" customWidth="1"/>
    <col min="55" max="55" width="25.90625" bestFit="1" customWidth="1"/>
    <col min="56" max="56" width="20" bestFit="1" customWidth="1"/>
    <col min="57" max="57" width="15.1796875" bestFit="1" customWidth="1"/>
    <col min="58" max="58" width="20" bestFit="1" customWidth="1"/>
    <col min="59" max="59" width="13.453125" bestFit="1" customWidth="1"/>
    <col min="60" max="60" width="8.453125" bestFit="1" customWidth="1"/>
    <col min="61" max="61" width="9.54296875" bestFit="1" customWidth="1"/>
    <col min="62" max="62" width="17.6328125" bestFit="1" customWidth="1"/>
    <col min="63" max="63" width="7" bestFit="1" customWidth="1"/>
    <col min="65" max="65" width="15.453125" bestFit="1" customWidth="1"/>
  </cols>
  <sheetData>
    <row r="1" spans="1:65" x14ac:dyDescent="0.35">
      <c r="A1" s="1" t="s">
        <v>52</v>
      </c>
      <c r="B1" t="s">
        <v>0</v>
      </c>
      <c r="G1" s="1" t="s">
        <v>55</v>
      </c>
      <c r="H1" s="1" t="s">
        <v>1</v>
      </c>
      <c r="L1" s="1" t="s">
        <v>55</v>
      </c>
      <c r="M1" s="1" t="s">
        <v>2</v>
      </c>
      <c r="Q1" s="3" t="s">
        <v>3</v>
      </c>
      <c r="R1" s="2">
        <v>2025</v>
      </c>
      <c r="S1" s="2">
        <v>2035</v>
      </c>
      <c r="Z1" s="4"/>
      <c r="AA1" s="1" t="s">
        <v>52</v>
      </c>
      <c r="AB1" t="s">
        <v>0</v>
      </c>
      <c r="AC1" s="3" t="s">
        <v>53</v>
      </c>
      <c r="AG1" s="1" t="s">
        <v>54</v>
      </c>
      <c r="AH1" s="1" t="s">
        <v>1</v>
      </c>
      <c r="AL1" s="1" t="s">
        <v>54</v>
      </c>
      <c r="AM1" s="1" t="s">
        <v>2</v>
      </c>
      <c r="AQ1" s="3" t="s">
        <v>3</v>
      </c>
      <c r="AR1" s="2">
        <v>2025</v>
      </c>
      <c r="AS1" s="2">
        <v>2035</v>
      </c>
      <c r="AZ1" s="4"/>
      <c r="BC1" s="63" t="s">
        <v>4</v>
      </c>
      <c r="BD1" s="63"/>
      <c r="BE1" s="63"/>
      <c r="BF1" s="63"/>
      <c r="BG1" s="63"/>
      <c r="BH1" s="63"/>
      <c r="BI1" s="63"/>
      <c r="BJ1" s="63"/>
      <c r="BK1" s="63"/>
    </row>
    <row r="2" spans="1:65" x14ac:dyDescent="0.35">
      <c r="A2" s="49" t="s">
        <v>5</v>
      </c>
      <c r="B2" s="49" t="s">
        <v>6</v>
      </c>
      <c r="C2" s="49" t="s">
        <v>7</v>
      </c>
      <c r="D2" s="49" t="s">
        <v>8</v>
      </c>
      <c r="E2" s="49" t="s">
        <v>9</v>
      </c>
      <c r="G2" s="49" t="s">
        <v>10</v>
      </c>
      <c r="H2" s="49" t="s">
        <v>6</v>
      </c>
      <c r="I2" s="49" t="s">
        <v>7</v>
      </c>
      <c r="J2" s="49" t="s">
        <v>8</v>
      </c>
      <c r="L2" s="49" t="s">
        <v>10</v>
      </c>
      <c r="M2" s="49" t="s">
        <v>6</v>
      </c>
      <c r="N2" s="49" t="s">
        <v>7</v>
      </c>
      <c r="O2" s="49" t="s">
        <v>8</v>
      </c>
      <c r="Q2" s="5" t="s">
        <v>5</v>
      </c>
      <c r="R2" s="5" t="s">
        <v>6</v>
      </c>
      <c r="S2" s="5" t="s">
        <v>6</v>
      </c>
      <c r="U2" s="5" t="s">
        <v>11</v>
      </c>
      <c r="V2" s="2">
        <v>2025</v>
      </c>
      <c r="W2" s="2">
        <v>2035</v>
      </c>
      <c r="Z2" s="4"/>
      <c r="AA2" s="45" t="str">
        <f t="shared" ref="AA2:AB33" si="0">A2</f>
        <v>CAPSTOK</v>
      </c>
      <c r="AB2" s="45" t="str">
        <f t="shared" si="0"/>
        <v>1 KepRi</v>
      </c>
      <c r="AC2" s="45" t="s">
        <v>7</v>
      </c>
      <c r="AD2" s="45" t="s">
        <v>8</v>
      </c>
      <c r="AE2" s="45" t="s">
        <v>9</v>
      </c>
      <c r="AG2" s="40" t="s">
        <v>12</v>
      </c>
      <c r="AH2" s="40" t="s">
        <v>6</v>
      </c>
      <c r="AI2" s="40" t="s">
        <v>7</v>
      </c>
      <c r="AJ2" s="40" t="s">
        <v>8</v>
      </c>
      <c r="AL2" s="47" t="s">
        <v>12</v>
      </c>
      <c r="AM2" s="47" t="s">
        <v>6</v>
      </c>
      <c r="AN2" s="47" t="s">
        <v>7</v>
      </c>
      <c r="AO2" s="47" t="s">
        <v>8</v>
      </c>
      <c r="AP2" s="5"/>
      <c r="AQ2" s="5" t="s">
        <v>5</v>
      </c>
      <c r="AR2" s="5" t="s">
        <v>6</v>
      </c>
      <c r="AS2" s="5" t="s">
        <v>6</v>
      </c>
      <c r="AU2" s="5" t="s">
        <v>13</v>
      </c>
      <c r="AV2" s="2">
        <v>2025</v>
      </c>
      <c r="AW2" s="2">
        <v>2035</v>
      </c>
      <c r="AZ2" s="4"/>
      <c r="BC2" s="3"/>
    </row>
    <row r="3" spans="1:65" s="6" customFormat="1" x14ac:dyDescent="0.35">
      <c r="A3" s="50" t="s">
        <v>14</v>
      </c>
      <c r="B3" s="50">
        <v>3.048</v>
      </c>
      <c r="C3" s="50">
        <v>62822.148000000001</v>
      </c>
      <c r="D3" s="50">
        <v>247586.734</v>
      </c>
      <c r="E3" s="50">
        <v>310411.93099999998</v>
      </c>
      <c r="F3"/>
      <c r="G3" s="50" t="s">
        <v>14</v>
      </c>
      <c r="H3" s="50">
        <v>25.321808999999998</v>
      </c>
      <c r="I3" s="50">
        <v>21.055987999999999</v>
      </c>
      <c r="J3" s="50">
        <v>21.796037999999999</v>
      </c>
      <c r="K3"/>
      <c r="L3" s="51" t="s">
        <v>14</v>
      </c>
      <c r="M3" s="51">
        <v>80.169668999999999</v>
      </c>
      <c r="N3" s="51">
        <v>59.839261999999998</v>
      </c>
      <c r="O3" s="51">
        <v>63.859883000000004</v>
      </c>
      <c r="P3"/>
      <c r="Q3" s="6" t="s">
        <v>14</v>
      </c>
      <c r="R3" s="6">
        <f>(100+H3)/100*B3</f>
        <v>3.8198087383200003</v>
      </c>
      <c r="S3" s="6">
        <f>(100+M3)/100*B3</f>
        <v>5.4915715111200001</v>
      </c>
      <c r="U3" s="6" t="s">
        <v>15</v>
      </c>
      <c r="V3" s="6">
        <f>VLOOKUP($U3,$Q$1:$S$33,2,FALSE)</f>
        <v>97973.557772325788</v>
      </c>
      <c r="W3" s="6">
        <f>VLOOKUP($U3,$Q$1:$S$33,3,FALSE)</f>
        <v>173433.54294033311</v>
      </c>
      <c r="Z3" s="7"/>
      <c r="AA3" s="46" t="str">
        <f t="shared" si="0"/>
        <v>1 Rice</v>
      </c>
      <c r="AB3" s="46">
        <f t="shared" si="0"/>
        <v>3.048</v>
      </c>
      <c r="AC3" s="46">
        <v>62822.148000000001</v>
      </c>
      <c r="AD3" s="46">
        <v>247586.734</v>
      </c>
      <c r="AE3" s="46">
        <v>310411.93099999998</v>
      </c>
      <c r="AG3" s="41" t="s">
        <v>14</v>
      </c>
      <c r="AH3" s="41">
        <v>25.321808999999998</v>
      </c>
      <c r="AI3" s="41">
        <v>21.055987999999999</v>
      </c>
      <c r="AJ3" s="41">
        <v>21.796037999999999</v>
      </c>
      <c r="AL3" s="47" t="s">
        <v>14</v>
      </c>
      <c r="AM3" s="47">
        <v>80.164894000000004</v>
      </c>
      <c r="AN3" s="47">
        <v>59.839311000000002</v>
      </c>
      <c r="AO3" s="47">
        <v>63.859883000000004</v>
      </c>
      <c r="AQ3" s="6" t="s">
        <v>14</v>
      </c>
      <c r="AR3" s="6">
        <f t="shared" ref="AR3:AR33" si="1">(100+AH3)/100*AB3</f>
        <v>3.8198087383200003</v>
      </c>
      <c r="AS3" s="6">
        <f t="shared" ref="AS3:AS33" si="2">(100+AM3)/100*AB3</f>
        <v>5.4914259691199998</v>
      </c>
      <c r="AU3" s="6" t="s">
        <v>15</v>
      </c>
      <c r="AV3" s="6">
        <f>VLOOKUP($AU3,$AQ$1:$AS$33,2,FALSE)</f>
        <v>97973.557772325788</v>
      </c>
      <c r="AW3" s="6">
        <f>VLOOKUP($AU3,$AQ$1:$AS$33,3,FALSE)</f>
        <v>173430.92242949296</v>
      </c>
      <c r="AZ3" s="7"/>
      <c r="BC3" s="8" t="str">
        <f t="shared" ref="BC3:BE8" si="3">U2</f>
        <v>BASELINE</v>
      </c>
      <c r="BD3" s="9">
        <f t="shared" si="3"/>
        <v>2025</v>
      </c>
      <c r="BE3" s="9">
        <f t="shared" si="3"/>
        <v>2035</v>
      </c>
      <c r="BF3" s="9" t="s">
        <v>16</v>
      </c>
      <c r="BG3" s="9" t="s">
        <v>17</v>
      </c>
      <c r="BH3" s="9" t="s">
        <v>18</v>
      </c>
      <c r="BI3" s="10"/>
      <c r="BJ3" s="10"/>
      <c r="BK3" s="11"/>
    </row>
    <row r="4" spans="1:65" s="6" customFormat="1" x14ac:dyDescent="0.35">
      <c r="A4" s="50" t="s">
        <v>19</v>
      </c>
      <c r="B4" s="50">
        <v>67.930000000000007</v>
      </c>
      <c r="C4" s="50">
        <v>29882.201000000001</v>
      </c>
      <c r="D4" s="50">
        <v>140867.71900000001</v>
      </c>
      <c r="E4" s="50">
        <v>170817.85</v>
      </c>
      <c r="G4" s="50" t="s">
        <v>19</v>
      </c>
      <c r="H4" s="50">
        <v>22.545608999999999</v>
      </c>
      <c r="I4" s="50">
        <v>24.331323999999999</v>
      </c>
      <c r="J4" s="50">
        <v>24.080898000000001</v>
      </c>
      <c r="L4" s="51" t="s">
        <v>19</v>
      </c>
      <c r="M4" s="51">
        <v>95.989166999999995</v>
      </c>
      <c r="N4" s="51">
        <v>100.406567</v>
      </c>
      <c r="O4" s="51">
        <v>98.160498000000004</v>
      </c>
      <c r="Q4" s="6" t="s">
        <v>19</v>
      </c>
      <c r="R4" s="6">
        <f t="shared" ref="R4:R33" si="4">(100+H4)/100*B4</f>
        <v>83.245232193700005</v>
      </c>
      <c r="S4" s="6">
        <f t="shared" ref="S4:S33" si="5">(100+M4)/100*B4</f>
        <v>133.13544114310002</v>
      </c>
      <c r="U4" s="6" t="s">
        <v>20</v>
      </c>
      <c r="V4" s="6">
        <f t="shared" ref="V4:V7" si="6">VLOOKUP($U4,$Q$1:$S$33,2,FALSE)</f>
        <v>14887.04194489512</v>
      </c>
      <c r="W4" s="6">
        <f t="shared" ref="W4:W7" si="7">VLOOKUP($U4,$Q$1:$S$33,3,FALSE)</f>
        <v>26623.863457921077</v>
      </c>
      <c r="Z4" s="7"/>
      <c r="AA4" s="46" t="str">
        <f t="shared" si="0"/>
        <v>2 FoodCrops</v>
      </c>
      <c r="AB4" s="46">
        <f t="shared" si="0"/>
        <v>67.930000000000007</v>
      </c>
      <c r="AC4" s="46">
        <v>29882.201000000001</v>
      </c>
      <c r="AD4" s="46">
        <v>140867.71900000001</v>
      </c>
      <c r="AE4" s="46">
        <v>170817.85</v>
      </c>
      <c r="AG4" s="41" t="s">
        <v>19</v>
      </c>
      <c r="AH4" s="41">
        <v>22.545608999999999</v>
      </c>
      <c r="AI4" s="41">
        <v>24.331323999999999</v>
      </c>
      <c r="AJ4" s="41">
        <v>24.080898000000001</v>
      </c>
      <c r="AL4" s="47" t="s">
        <v>19</v>
      </c>
      <c r="AM4" s="47">
        <v>95.976888000000002</v>
      </c>
      <c r="AN4" s="47">
        <v>100.40658500000001</v>
      </c>
      <c r="AO4" s="47">
        <v>98.160544000000002</v>
      </c>
      <c r="AQ4" s="6" t="s">
        <v>19</v>
      </c>
      <c r="AR4" s="6">
        <f t="shared" si="1"/>
        <v>83.245232193700005</v>
      </c>
      <c r="AS4" s="6">
        <f t="shared" si="2"/>
        <v>133.1271000184</v>
      </c>
      <c r="AU4" s="6" t="s">
        <v>20</v>
      </c>
      <c r="AV4" s="6">
        <f>VLOOKUP($AU4,$AQ$1:$AS$33,2,FALSE)</f>
        <v>14887.04194489512</v>
      </c>
      <c r="AW4" s="6">
        <f>VLOOKUP($AU4,$AQ$1:$AS$33,3,FALSE)</f>
        <v>167892.36804621571</v>
      </c>
      <c r="AZ4" s="7"/>
      <c r="BC4" s="12" t="str">
        <f t="shared" si="3"/>
        <v>16 ElectEqp</v>
      </c>
      <c r="BD4" s="13">
        <f t="shared" si="3"/>
        <v>97973.557772325788</v>
      </c>
      <c r="BE4" s="13">
        <f t="shared" si="3"/>
        <v>173433.54294033311</v>
      </c>
      <c r="BF4" s="14">
        <f>BE4-BD4</f>
        <v>75459.985168007319</v>
      </c>
      <c r="BG4"/>
      <c r="BH4" s="15">
        <f>(((BE4/BD4)^(1/($BE$3-$BD$3)))-1)*100</f>
        <v>5.8771936971079075</v>
      </c>
      <c r="BI4"/>
      <c r="BJ4"/>
      <c r="BK4" s="16"/>
    </row>
    <row r="5" spans="1:65" s="6" customFormat="1" x14ac:dyDescent="0.35">
      <c r="A5" s="50" t="s">
        <v>21</v>
      </c>
      <c r="B5" s="50">
        <v>10856.886</v>
      </c>
      <c r="C5" s="50">
        <v>379453.84399999998</v>
      </c>
      <c r="D5" s="50">
        <v>1122579.375</v>
      </c>
      <c r="E5" s="50">
        <v>1512890.1040000001</v>
      </c>
      <c r="G5" s="50" t="s">
        <v>21</v>
      </c>
      <c r="H5" s="50">
        <v>25.357189999999999</v>
      </c>
      <c r="I5" s="50">
        <v>18.192830000000001</v>
      </c>
      <c r="J5" s="50">
        <v>21.503693999999999</v>
      </c>
      <c r="L5" s="51" t="s">
        <v>21</v>
      </c>
      <c r="M5" s="51">
        <v>124.457953</v>
      </c>
      <c r="N5" s="51">
        <v>97.622427999999999</v>
      </c>
      <c r="O5" s="51">
        <v>97.780901999999998</v>
      </c>
      <c r="Q5" s="6" t="s">
        <v>21</v>
      </c>
      <c r="R5" s="6">
        <f t="shared" si="4"/>
        <v>13609.887211103402</v>
      </c>
      <c r="S5" s="6">
        <f t="shared" si="5"/>
        <v>24369.144075143584</v>
      </c>
      <c r="U5" s="6" t="s">
        <v>22</v>
      </c>
      <c r="V5" s="6">
        <f t="shared" si="6"/>
        <v>5360.92394900012</v>
      </c>
      <c r="W5" s="6">
        <f t="shared" si="7"/>
        <v>9431.9059652761625</v>
      </c>
      <c r="Z5" s="7"/>
      <c r="AA5" s="46" t="str">
        <f t="shared" si="0"/>
        <v>3 OthAgr</v>
      </c>
      <c r="AB5" s="46">
        <f t="shared" si="0"/>
        <v>10856.886</v>
      </c>
      <c r="AC5" s="46">
        <v>379453.84399999998</v>
      </c>
      <c r="AD5" s="46">
        <v>1122579.375</v>
      </c>
      <c r="AE5" s="46">
        <v>1512890.1040000001</v>
      </c>
      <c r="AG5" s="41" t="s">
        <v>21</v>
      </c>
      <c r="AH5" s="41">
        <v>25.357189999999999</v>
      </c>
      <c r="AI5" s="41">
        <v>18.192830000000001</v>
      </c>
      <c r="AJ5" s="41">
        <v>21.503693999999999</v>
      </c>
      <c r="AL5" s="47" t="s">
        <v>21</v>
      </c>
      <c r="AM5" s="47">
        <v>124.454712</v>
      </c>
      <c r="AN5" s="47">
        <v>97.622487000000007</v>
      </c>
      <c r="AO5" s="47">
        <v>97.781056000000007</v>
      </c>
      <c r="AQ5" s="6" t="s">
        <v>21</v>
      </c>
      <c r="AR5" s="6">
        <f t="shared" si="1"/>
        <v>13609.887211103402</v>
      </c>
      <c r="AS5" s="6">
        <f t="shared" si="2"/>
        <v>24368.792203468322</v>
      </c>
      <c r="AU5" s="6" t="s">
        <v>22</v>
      </c>
      <c r="AV5" s="6">
        <f>VLOOKUP($AU5,$AQ$1:$AS$33,2,FALSE)</f>
        <v>5360.92394900012</v>
      </c>
      <c r="AW5" s="6">
        <f>VLOOKUP($AU5,$AQ$1:$AS$33,3,FALSE)</f>
        <v>9431.72785192841</v>
      </c>
      <c r="AZ5" s="7"/>
      <c r="BC5" s="12" t="str">
        <f t="shared" si="3"/>
        <v>28 Banking</v>
      </c>
      <c r="BD5" s="13">
        <f t="shared" si="3"/>
        <v>14887.04194489512</v>
      </c>
      <c r="BE5" s="13">
        <f t="shared" si="3"/>
        <v>26623.863457921077</v>
      </c>
      <c r="BF5" s="14">
        <f t="shared" ref="BF5:BF8" si="8">BE5-BD5</f>
        <v>11736.821513025958</v>
      </c>
      <c r="BG5"/>
      <c r="BH5" s="15">
        <f>(((BE5/BD5)^(1/($BE$3-$BD$3)))-1)*100</f>
        <v>5.9854544952109956</v>
      </c>
      <c r="BI5"/>
      <c r="BJ5"/>
      <c r="BK5" s="16"/>
    </row>
    <row r="6" spans="1:65" s="6" customFormat="1" x14ac:dyDescent="0.35">
      <c r="A6" s="50" t="s">
        <v>23</v>
      </c>
      <c r="B6" s="50">
        <v>42.38</v>
      </c>
      <c r="C6" s="50">
        <v>129017.25</v>
      </c>
      <c r="D6" s="50">
        <v>108003.258</v>
      </c>
      <c r="E6" s="50">
        <v>237062.88800000001</v>
      </c>
      <c r="G6" s="50" t="s">
        <v>23</v>
      </c>
      <c r="H6" s="50">
        <v>41.558573000000003</v>
      </c>
      <c r="I6" s="50">
        <v>43.339464</v>
      </c>
      <c r="J6" s="50">
        <v>46.557076000000002</v>
      </c>
      <c r="L6" s="51" t="s">
        <v>23</v>
      </c>
      <c r="M6" s="51">
        <v>136.04753500000001</v>
      </c>
      <c r="N6" s="51">
        <v>136.84414100000001</v>
      </c>
      <c r="O6" s="51">
        <v>147.19230400000001</v>
      </c>
      <c r="Q6" s="6" t="s">
        <v>23</v>
      </c>
      <c r="R6" s="6">
        <f t="shared" si="4"/>
        <v>59.9925232374</v>
      </c>
      <c r="S6" s="6">
        <f t="shared" si="5"/>
        <v>100.03694533300002</v>
      </c>
      <c r="U6" s="6" t="s">
        <v>24</v>
      </c>
      <c r="V6" s="6">
        <f t="shared" si="6"/>
        <v>17374.333117632181</v>
      </c>
      <c r="W6" s="6">
        <f t="shared" si="7"/>
        <v>23911.133161280126</v>
      </c>
      <c r="Z6" s="7"/>
      <c r="AA6" s="46" t="str">
        <f t="shared" si="0"/>
        <v>4 Forestry</v>
      </c>
      <c r="AB6" s="46">
        <f t="shared" si="0"/>
        <v>42.38</v>
      </c>
      <c r="AC6" s="46">
        <v>129017.25</v>
      </c>
      <c r="AD6" s="46">
        <v>108003.258</v>
      </c>
      <c r="AE6" s="46">
        <v>237062.88800000001</v>
      </c>
      <c r="AG6" s="41" t="s">
        <v>23</v>
      </c>
      <c r="AH6" s="41">
        <v>41.558573000000003</v>
      </c>
      <c r="AI6" s="41">
        <v>43.339464</v>
      </c>
      <c r="AJ6" s="41">
        <v>46.557076000000002</v>
      </c>
      <c r="AL6" s="47" t="s">
        <v>23</v>
      </c>
      <c r="AM6" s="47">
        <v>136.04364200000001</v>
      </c>
      <c r="AN6" s="47">
        <v>136.84424300000001</v>
      </c>
      <c r="AO6" s="47">
        <v>147.19230999999999</v>
      </c>
      <c r="AQ6" s="6" t="s">
        <v>23</v>
      </c>
      <c r="AR6" s="6">
        <f t="shared" si="1"/>
        <v>59.9925232374</v>
      </c>
      <c r="AS6" s="6">
        <f t="shared" si="2"/>
        <v>100.03529547960001</v>
      </c>
      <c r="AU6" s="6" t="s">
        <v>24</v>
      </c>
      <c r="AV6" s="6">
        <f>VLOOKUP($AU6,$AQ$1:$AS$33,2,FALSE)</f>
        <v>17374.333117632181</v>
      </c>
      <c r="AW6" s="6">
        <f>VLOOKUP($AU6,$AQ$1:$AS$33,3,FALSE)</f>
        <v>23911.021899103049</v>
      </c>
      <c r="AZ6" s="7"/>
      <c r="BC6" s="12" t="str">
        <f t="shared" si="3"/>
        <v>27 InformatTech</v>
      </c>
      <c r="BD6" s="13">
        <f t="shared" si="3"/>
        <v>5360.92394900012</v>
      </c>
      <c r="BE6" s="13">
        <f t="shared" si="3"/>
        <v>9431.9059652761625</v>
      </c>
      <c r="BF6" s="14">
        <f t="shared" si="8"/>
        <v>4070.9820162760425</v>
      </c>
      <c r="BG6"/>
      <c r="BH6" s="15">
        <f>(((BE6/BD6)^(1/($BE$3-$BD$3)))-1)*100</f>
        <v>5.8122578547859627</v>
      </c>
      <c r="BI6"/>
      <c r="BJ6"/>
      <c r="BK6" s="16"/>
    </row>
    <row r="7" spans="1:65" s="6" customFormat="1" x14ac:dyDescent="0.35">
      <c r="A7" s="50" t="s">
        <v>25</v>
      </c>
      <c r="B7" s="50">
        <v>4161.1099999999997</v>
      </c>
      <c r="C7" s="50">
        <v>668536.56299999997</v>
      </c>
      <c r="D7" s="50">
        <v>491192.28100000002</v>
      </c>
      <c r="E7" s="50">
        <v>1163889.9539999999</v>
      </c>
      <c r="G7" s="50" t="s">
        <v>25</v>
      </c>
      <c r="H7" s="50">
        <v>38.781627999999998</v>
      </c>
      <c r="I7" s="50">
        <v>46.320784000000003</v>
      </c>
      <c r="J7" s="50">
        <v>39.056843999999998</v>
      </c>
      <c r="L7" s="51" t="s">
        <v>25</v>
      </c>
      <c r="M7" s="51">
        <v>128.601123</v>
      </c>
      <c r="N7" s="51">
        <v>136.625789</v>
      </c>
      <c r="O7" s="51">
        <v>131.55888200000001</v>
      </c>
      <c r="Q7" s="6" t="s">
        <v>25</v>
      </c>
      <c r="R7" s="6">
        <f t="shared" si="4"/>
        <v>5774.8562008707995</v>
      </c>
      <c r="S7" s="6">
        <f t="shared" si="5"/>
        <v>9512.3441892652991</v>
      </c>
      <c r="U7" s="6" t="s">
        <v>26</v>
      </c>
      <c r="V7" s="6">
        <f t="shared" si="6"/>
        <v>41763.308316250695</v>
      </c>
      <c r="W7" s="6">
        <f t="shared" si="7"/>
        <v>53891.854044667336</v>
      </c>
      <c r="Z7" s="7"/>
      <c r="AA7" s="46" t="str">
        <f t="shared" si="0"/>
        <v>5 OthPlant</v>
      </c>
      <c r="AB7" s="46">
        <f t="shared" si="0"/>
        <v>4161.1099999999997</v>
      </c>
      <c r="AC7" s="46">
        <v>668536.56299999997</v>
      </c>
      <c r="AD7" s="46">
        <v>491192.28100000002</v>
      </c>
      <c r="AE7" s="46">
        <v>1163889.9539999999</v>
      </c>
      <c r="AG7" s="41" t="s">
        <v>25</v>
      </c>
      <c r="AH7" s="41">
        <v>38.781627999999998</v>
      </c>
      <c r="AI7" s="41">
        <v>46.320784000000003</v>
      </c>
      <c r="AJ7" s="41">
        <v>39.056843999999998</v>
      </c>
      <c r="AL7" s="47" t="s">
        <v>25</v>
      </c>
      <c r="AM7" s="47">
        <v>128.60111000000001</v>
      </c>
      <c r="AN7" s="47">
        <v>136.625967</v>
      </c>
      <c r="AO7" s="47">
        <v>131.55914899999999</v>
      </c>
      <c r="AQ7" s="6" t="s">
        <v>25</v>
      </c>
      <c r="AR7" s="6">
        <f t="shared" si="1"/>
        <v>5774.8562008707995</v>
      </c>
      <c r="AS7" s="6">
        <f t="shared" si="2"/>
        <v>9512.3436483209989</v>
      </c>
      <c r="AU7" s="6" t="s">
        <v>26</v>
      </c>
      <c r="AV7" s="6">
        <f>VLOOKUP($AU7,$AQ$1:$AS$33,2,FALSE)</f>
        <v>41763.308316250695</v>
      </c>
      <c r="AW7" s="6">
        <f>VLOOKUP($AU7,$AQ$1:$AS$33,3,FALSE)</f>
        <v>53890.837241265224</v>
      </c>
      <c r="AZ7" s="7"/>
      <c r="BC7" s="12" t="str">
        <f t="shared" si="3"/>
        <v>6 Fishery</v>
      </c>
      <c r="BD7" s="13">
        <f t="shared" si="3"/>
        <v>17374.333117632181</v>
      </c>
      <c r="BE7" s="13">
        <f t="shared" si="3"/>
        <v>23911.133161280126</v>
      </c>
      <c r="BF7" s="14">
        <f t="shared" si="8"/>
        <v>6536.8000436479451</v>
      </c>
      <c r="BG7"/>
      <c r="BH7" s="15">
        <f>(((BE7/BD7)^(1/($BE$3-$BD$3)))-1)*100</f>
        <v>3.2450410793845474</v>
      </c>
      <c r="BI7"/>
      <c r="BJ7"/>
      <c r="BK7" s="16"/>
    </row>
    <row r="8" spans="1:65" s="6" customFormat="1" x14ac:dyDescent="0.35">
      <c r="A8" s="50" t="s">
        <v>24</v>
      </c>
      <c r="B8" s="50">
        <v>13437.460999999999</v>
      </c>
      <c r="C8" s="50">
        <v>166024.04699999999</v>
      </c>
      <c r="D8" s="50">
        <v>451022.56300000002</v>
      </c>
      <c r="E8" s="50">
        <v>630484.06999999995</v>
      </c>
      <c r="G8" s="50" t="s">
        <v>24</v>
      </c>
      <c r="H8" s="50">
        <v>29.297737999999999</v>
      </c>
      <c r="I8" s="50">
        <v>28.963291000000002</v>
      </c>
      <c r="J8" s="50">
        <v>29.572520999999998</v>
      </c>
      <c r="L8" s="51" t="s">
        <v>24</v>
      </c>
      <c r="M8" s="51">
        <v>77.943832999999998</v>
      </c>
      <c r="N8" s="51">
        <v>77.858116999999993</v>
      </c>
      <c r="O8" s="51">
        <v>79.207869000000002</v>
      </c>
      <c r="Q8" s="6" t="s">
        <v>24</v>
      </c>
      <c r="R8" s="6">
        <f t="shared" si="4"/>
        <v>17374.333117632181</v>
      </c>
      <c r="S8" s="6">
        <f t="shared" si="5"/>
        <v>23911.133161280126</v>
      </c>
      <c r="Z8" s="7"/>
      <c r="AA8" s="46" t="str">
        <f t="shared" si="0"/>
        <v>6 Fishery</v>
      </c>
      <c r="AB8" s="46">
        <f t="shared" si="0"/>
        <v>13437.460999999999</v>
      </c>
      <c r="AC8" s="46">
        <v>166024.04699999999</v>
      </c>
      <c r="AD8" s="46">
        <v>451022.56300000002</v>
      </c>
      <c r="AE8" s="46">
        <v>630484.06999999995</v>
      </c>
      <c r="AG8" s="41" t="s">
        <v>24</v>
      </c>
      <c r="AH8" s="41">
        <v>29.297737999999999</v>
      </c>
      <c r="AI8" s="41">
        <v>28.963291000000002</v>
      </c>
      <c r="AJ8" s="41">
        <v>29.572520999999998</v>
      </c>
      <c r="AL8" s="47" t="s">
        <v>24</v>
      </c>
      <c r="AM8" s="47">
        <v>77.943004999999999</v>
      </c>
      <c r="AN8" s="47">
        <v>77.858140000000006</v>
      </c>
      <c r="AO8" s="47">
        <v>79.207884000000007</v>
      </c>
      <c r="AQ8" s="6" t="s">
        <v>24</v>
      </c>
      <c r="AR8" s="6">
        <f t="shared" si="1"/>
        <v>17374.333117632181</v>
      </c>
      <c r="AS8" s="6">
        <f t="shared" si="2"/>
        <v>23911.021899103049</v>
      </c>
      <c r="AZ8" s="7"/>
      <c r="BC8" s="17" t="str">
        <f t="shared" si="3"/>
        <v>10 FoodProds</v>
      </c>
      <c r="BD8" s="18">
        <f t="shared" si="3"/>
        <v>41763.308316250695</v>
      </c>
      <c r="BE8" s="18">
        <f t="shared" si="3"/>
        <v>53891.854044667336</v>
      </c>
      <c r="BF8" s="19">
        <f t="shared" si="8"/>
        <v>12128.54572841664</v>
      </c>
      <c r="BG8" s="20"/>
      <c r="BH8" s="21">
        <f>(((BE8/BD8)^(1/($BE$3-$BD$3)))-1)*100</f>
        <v>2.5823923299027385</v>
      </c>
      <c r="BI8" s="20"/>
      <c r="BJ8" s="20"/>
      <c r="BK8" s="22"/>
    </row>
    <row r="9" spans="1:65" s="6" customFormat="1" x14ac:dyDescent="0.35">
      <c r="A9" s="50" t="s">
        <v>27</v>
      </c>
      <c r="B9" s="50">
        <v>0.121</v>
      </c>
      <c r="C9" s="50">
        <v>73173.906000000003</v>
      </c>
      <c r="D9" s="50">
        <v>601700.56299999997</v>
      </c>
      <c r="E9" s="50">
        <v>674874.59</v>
      </c>
      <c r="G9" s="50" t="s">
        <v>27</v>
      </c>
      <c r="H9" s="50">
        <v>26.665592</v>
      </c>
      <c r="I9" s="50">
        <v>28.069412</v>
      </c>
      <c r="J9" s="50">
        <v>26.825786000000001</v>
      </c>
      <c r="L9" s="51" t="s">
        <v>27</v>
      </c>
      <c r="M9" s="51">
        <v>67.247724000000005</v>
      </c>
      <c r="N9" s="51">
        <v>64.051768999999993</v>
      </c>
      <c r="O9" s="51">
        <v>64.540013999999999</v>
      </c>
      <c r="Q9" s="6" t="s">
        <v>27</v>
      </c>
      <c r="R9" s="6">
        <f t="shared" si="4"/>
        <v>0.15326536632000001</v>
      </c>
      <c r="S9" s="6">
        <f t="shared" si="5"/>
        <v>0.20236974603999999</v>
      </c>
      <c r="Z9" s="7"/>
      <c r="AA9" s="46" t="str">
        <f t="shared" si="0"/>
        <v>7 Coal</v>
      </c>
      <c r="AB9" s="46">
        <f t="shared" si="0"/>
        <v>0.121</v>
      </c>
      <c r="AC9" s="46">
        <v>73173.906000000003</v>
      </c>
      <c r="AD9" s="46">
        <v>601700.56299999997</v>
      </c>
      <c r="AE9" s="46">
        <v>674874.59</v>
      </c>
      <c r="AG9" s="41" t="s">
        <v>27</v>
      </c>
      <c r="AH9" s="41">
        <v>26.665592</v>
      </c>
      <c r="AI9" s="41">
        <v>28.069412</v>
      </c>
      <c r="AJ9" s="41">
        <v>26.825786000000001</v>
      </c>
      <c r="AL9" s="47" t="s">
        <v>27</v>
      </c>
      <c r="AM9" s="47">
        <v>67.244774000000007</v>
      </c>
      <c r="AN9" s="47">
        <v>64.051839000000001</v>
      </c>
      <c r="AO9" s="47">
        <v>64.540057000000004</v>
      </c>
      <c r="AQ9" s="6" t="s">
        <v>27</v>
      </c>
      <c r="AR9" s="6">
        <f t="shared" si="1"/>
        <v>0.15326536632000001</v>
      </c>
      <c r="AS9" s="6">
        <f t="shared" si="2"/>
        <v>0.20236617654</v>
      </c>
      <c r="AZ9" s="7"/>
      <c r="BC9"/>
      <c r="BD9"/>
      <c r="BE9"/>
      <c r="BF9"/>
      <c r="BG9"/>
      <c r="BH9"/>
      <c r="BI9"/>
      <c r="BJ9"/>
      <c r="BK9"/>
    </row>
    <row r="10" spans="1:65" s="6" customFormat="1" ht="15" thickBot="1" x14ac:dyDescent="0.4">
      <c r="A10" s="50" t="s">
        <v>28</v>
      </c>
      <c r="B10" s="50">
        <v>24873.881000000001</v>
      </c>
      <c r="C10" s="50">
        <v>124378.961</v>
      </c>
      <c r="D10" s="50">
        <v>219573.42199999999</v>
      </c>
      <c r="E10" s="50">
        <v>368826.26400000002</v>
      </c>
      <c r="G10" s="50" t="s">
        <v>28</v>
      </c>
      <c r="H10" s="50">
        <v>9.1533940000000005</v>
      </c>
      <c r="I10" s="50">
        <v>33.650458999999998</v>
      </c>
      <c r="J10" s="50">
        <v>32.380018</v>
      </c>
      <c r="L10" s="51" t="s">
        <v>28</v>
      </c>
      <c r="M10" s="51">
        <v>75.037918000000005</v>
      </c>
      <c r="N10" s="51">
        <v>102.75541200000001</v>
      </c>
      <c r="O10" s="51">
        <v>103.416051</v>
      </c>
      <c r="Q10" s="6" t="s">
        <v>28</v>
      </c>
      <c r="R10" s="6">
        <f t="shared" si="4"/>
        <v>27150.685331021145</v>
      </c>
      <c r="S10" s="6">
        <f t="shared" si="5"/>
        <v>43538.723428197583</v>
      </c>
      <c r="Z10" s="7"/>
      <c r="AA10" s="46" t="str">
        <f t="shared" si="0"/>
        <v>8 NatGas</v>
      </c>
      <c r="AB10" s="46">
        <f t="shared" si="0"/>
        <v>24873.881000000001</v>
      </c>
      <c r="AC10" s="46">
        <v>124378.961</v>
      </c>
      <c r="AD10" s="46">
        <v>219573.42199999999</v>
      </c>
      <c r="AE10" s="46">
        <v>368826.26400000002</v>
      </c>
      <c r="AG10" s="41" t="s">
        <v>28</v>
      </c>
      <c r="AH10" s="41">
        <v>9.1533940000000005</v>
      </c>
      <c r="AI10" s="41">
        <v>33.650458999999998</v>
      </c>
      <c r="AJ10" s="41">
        <v>32.380018</v>
      </c>
      <c r="AL10" s="47" t="s">
        <v>28</v>
      </c>
      <c r="AM10" s="47">
        <v>75.036925999999994</v>
      </c>
      <c r="AN10" s="47">
        <v>102.755443</v>
      </c>
      <c r="AO10" s="47">
        <v>103.416059</v>
      </c>
      <c r="AQ10" s="6" t="s">
        <v>28</v>
      </c>
      <c r="AR10" s="6">
        <f t="shared" si="1"/>
        <v>27150.685331021145</v>
      </c>
      <c r="AS10" s="6">
        <f t="shared" si="2"/>
        <v>43538.476679298066</v>
      </c>
      <c r="AZ10" s="7"/>
      <c r="BC10" s="3"/>
      <c r="BD10"/>
      <c r="BE10"/>
      <c r="BF10"/>
      <c r="BG10"/>
      <c r="BH10"/>
      <c r="BI10"/>
      <c r="BJ10"/>
      <c r="BK10"/>
    </row>
    <row r="11" spans="1:65" s="6" customFormat="1" x14ac:dyDescent="0.35">
      <c r="A11" s="50" t="s">
        <v>29</v>
      </c>
      <c r="B11" s="50">
        <v>13135.991</v>
      </c>
      <c r="C11" s="50">
        <v>289081.65600000002</v>
      </c>
      <c r="D11" s="50">
        <v>753859.875</v>
      </c>
      <c r="E11" s="50">
        <v>1056077.5220000001</v>
      </c>
      <c r="G11" s="50" t="s">
        <v>29</v>
      </c>
      <c r="H11" s="50">
        <v>22.093004000000001</v>
      </c>
      <c r="I11" s="50">
        <v>24.031041999999999</v>
      </c>
      <c r="J11" s="50">
        <v>26.740770000000001</v>
      </c>
      <c r="L11" s="51" t="s">
        <v>29</v>
      </c>
      <c r="M11" s="51">
        <v>65.464990999999998</v>
      </c>
      <c r="N11" s="51">
        <v>63.186962999999999</v>
      </c>
      <c r="O11" s="51">
        <v>73.571948000000006</v>
      </c>
      <c r="Q11" s="6" t="s">
        <v>29</v>
      </c>
      <c r="R11" s="6">
        <f t="shared" si="4"/>
        <v>16038.126017069641</v>
      </c>
      <c r="S11" s="6">
        <f t="shared" si="5"/>
        <v>21735.466325910809</v>
      </c>
      <c r="Z11" s="7"/>
      <c r="AA11" s="46" t="str">
        <f t="shared" si="0"/>
        <v>9 OthMine</v>
      </c>
      <c r="AB11" s="46">
        <f t="shared" si="0"/>
        <v>13135.991</v>
      </c>
      <c r="AC11" s="46">
        <v>289081.65600000002</v>
      </c>
      <c r="AD11" s="46">
        <v>753859.875</v>
      </c>
      <c r="AE11" s="46">
        <v>1056077.5220000001</v>
      </c>
      <c r="AG11" s="41" t="s">
        <v>29</v>
      </c>
      <c r="AH11" s="41">
        <v>22.093004000000001</v>
      </c>
      <c r="AI11" s="41">
        <v>24.031041999999999</v>
      </c>
      <c r="AJ11" s="41">
        <v>26.740770000000001</v>
      </c>
      <c r="AL11" s="47" t="s">
        <v>29</v>
      </c>
      <c r="AM11" s="47">
        <v>65.462197000000003</v>
      </c>
      <c r="AN11" s="47">
        <v>63.186982999999998</v>
      </c>
      <c r="AO11" s="47">
        <v>73.571968999999996</v>
      </c>
      <c r="AQ11" s="6" t="s">
        <v>29</v>
      </c>
      <c r="AR11" s="6">
        <f t="shared" si="1"/>
        <v>16038.126017069641</v>
      </c>
      <c r="AS11" s="6">
        <f t="shared" si="2"/>
        <v>21735.09930632227</v>
      </c>
      <c r="AZ11" s="7"/>
      <c r="BC11" s="8" t="str">
        <f t="shared" ref="BC11:BE16" si="9">AU2</f>
        <v>POLICY</v>
      </c>
      <c r="BD11" s="9">
        <f t="shared" si="9"/>
        <v>2025</v>
      </c>
      <c r="BE11" s="9">
        <f t="shared" si="9"/>
        <v>2035</v>
      </c>
      <c r="BF11" s="9" t="s">
        <v>16</v>
      </c>
      <c r="BG11" s="9" t="s">
        <v>17</v>
      </c>
      <c r="BH11" s="9" t="s">
        <v>18</v>
      </c>
      <c r="BI11" s="9"/>
      <c r="BJ11" s="9"/>
      <c r="BK11" s="23"/>
      <c r="BM11" s="24" t="s">
        <v>30</v>
      </c>
    </row>
    <row r="12" spans="1:65" s="6" customFormat="1" ht="15" thickBot="1" x14ac:dyDescent="0.4">
      <c r="A12" s="50" t="s">
        <v>26</v>
      </c>
      <c r="B12" s="50">
        <v>29498.213</v>
      </c>
      <c r="C12" s="50">
        <v>239366.734</v>
      </c>
      <c r="D12" s="50">
        <v>1234151</v>
      </c>
      <c r="E12" s="50">
        <v>1503015.9469999999</v>
      </c>
      <c r="G12" s="50" t="s">
        <v>26</v>
      </c>
      <c r="H12" s="50">
        <v>41.579113</v>
      </c>
      <c r="I12" s="50">
        <v>42.831418999999997</v>
      </c>
      <c r="J12" s="50">
        <v>42.756802999999998</v>
      </c>
      <c r="L12" s="51" t="s">
        <v>26</v>
      </c>
      <c r="M12" s="51">
        <v>82.695318</v>
      </c>
      <c r="N12" s="51">
        <v>84.767712000000003</v>
      </c>
      <c r="O12" s="51">
        <v>81.765721999999997</v>
      </c>
      <c r="Q12" s="6" t="s">
        <v>26</v>
      </c>
      <c r="R12" s="6">
        <f t="shared" si="4"/>
        <v>41763.308316250695</v>
      </c>
      <c r="S12" s="6">
        <f t="shared" si="5"/>
        <v>53891.854044667336</v>
      </c>
      <c r="Z12" s="7"/>
      <c r="AA12" s="46" t="str">
        <f t="shared" si="0"/>
        <v>10 FoodProds</v>
      </c>
      <c r="AB12" s="46">
        <f t="shared" si="0"/>
        <v>29498.213</v>
      </c>
      <c r="AC12" s="46">
        <v>239366.734</v>
      </c>
      <c r="AD12" s="46">
        <v>1234151</v>
      </c>
      <c r="AE12" s="46">
        <v>1503015.9469999999</v>
      </c>
      <c r="AG12" s="41" t="s">
        <v>26</v>
      </c>
      <c r="AH12" s="41">
        <v>41.579113</v>
      </c>
      <c r="AI12" s="41">
        <v>42.831418999999997</v>
      </c>
      <c r="AJ12" s="41">
        <v>42.756802999999998</v>
      </c>
      <c r="AL12" s="47" t="s">
        <v>26</v>
      </c>
      <c r="AM12" s="47">
        <v>82.691871000000006</v>
      </c>
      <c r="AN12" s="47">
        <v>84.767731999999995</v>
      </c>
      <c r="AO12" s="47">
        <v>81.765731000000002</v>
      </c>
      <c r="AQ12" s="6" t="s">
        <v>26</v>
      </c>
      <c r="AR12" s="6">
        <f t="shared" si="1"/>
        <v>41763.308316250695</v>
      </c>
      <c r="AS12" s="6">
        <f t="shared" si="2"/>
        <v>53890.837241265224</v>
      </c>
      <c r="AZ12" s="7"/>
      <c r="BC12" s="12" t="str">
        <f t="shared" si="9"/>
        <v>16 ElectEqp</v>
      </c>
      <c r="BD12" s="13">
        <f t="shared" si="9"/>
        <v>97973.557772325788</v>
      </c>
      <c r="BE12" s="13">
        <f t="shared" si="9"/>
        <v>173430.92242949296</v>
      </c>
      <c r="BF12" s="14">
        <f>BE12-BD12</f>
        <v>75457.364657167171</v>
      </c>
      <c r="BG12" s="14"/>
      <c r="BH12" s="15">
        <f>(((BE12/BD12)^(1/($BE$3-$BD$3)))-1)*100</f>
        <v>5.8770337198534417</v>
      </c>
      <c r="BI12" s="13">
        <f>BH12/BH4</f>
        <v>0.9999727799928485</v>
      </c>
      <c r="BJ12" s="25"/>
      <c r="BK12" s="26"/>
      <c r="BM12" s="27">
        <f>[1]rekap_2035!G12</f>
        <v>141247.65495620141</v>
      </c>
    </row>
    <row r="13" spans="1:65" s="6" customFormat="1" x14ac:dyDescent="0.35">
      <c r="A13" s="50" t="s">
        <v>31</v>
      </c>
      <c r="B13" s="50">
        <v>189.976</v>
      </c>
      <c r="C13" s="50">
        <v>420845.06300000002</v>
      </c>
      <c r="D13" s="50">
        <v>162696.68799999999</v>
      </c>
      <c r="E13" s="50">
        <v>583731.72600000002</v>
      </c>
      <c r="G13" s="50" t="s">
        <v>31</v>
      </c>
      <c r="H13" s="50">
        <v>63.773539999999997</v>
      </c>
      <c r="I13" s="50">
        <v>61.211016999999998</v>
      </c>
      <c r="J13" s="50">
        <v>59.079504</v>
      </c>
      <c r="L13" s="51" t="s">
        <v>31</v>
      </c>
      <c r="M13" s="51">
        <v>149.23762400000001</v>
      </c>
      <c r="N13" s="51">
        <v>132.66141500000001</v>
      </c>
      <c r="O13" s="51">
        <v>132.33755199999999</v>
      </c>
      <c r="Q13" s="6" t="s">
        <v>31</v>
      </c>
      <c r="R13" s="6">
        <f t="shared" si="4"/>
        <v>311.13042035040002</v>
      </c>
      <c r="S13" s="6">
        <f t="shared" si="5"/>
        <v>473.49166857023999</v>
      </c>
      <c r="Z13" s="7"/>
      <c r="AA13" s="46" t="str">
        <f t="shared" si="0"/>
        <v>11 EdibleOils</v>
      </c>
      <c r="AB13" s="46">
        <f t="shared" si="0"/>
        <v>189.976</v>
      </c>
      <c r="AC13" s="46">
        <v>420845.06300000002</v>
      </c>
      <c r="AD13" s="46">
        <v>162696.68799999999</v>
      </c>
      <c r="AE13" s="46">
        <v>583731.72600000002</v>
      </c>
      <c r="AG13" s="41" t="s">
        <v>31</v>
      </c>
      <c r="AH13" s="41">
        <v>63.773539999999997</v>
      </c>
      <c r="AI13" s="41">
        <v>61.211016999999998</v>
      </c>
      <c r="AJ13" s="41">
        <v>59.079504</v>
      </c>
      <c r="AL13" s="47" t="s">
        <v>31</v>
      </c>
      <c r="AM13" s="47">
        <v>149.23358400000001</v>
      </c>
      <c r="AN13" s="47">
        <v>132.661326</v>
      </c>
      <c r="AO13" s="47">
        <v>132.337583</v>
      </c>
      <c r="AQ13" s="6" t="s">
        <v>31</v>
      </c>
      <c r="AR13" s="6">
        <f t="shared" si="1"/>
        <v>311.13042035040002</v>
      </c>
      <c r="AS13" s="6">
        <f t="shared" si="2"/>
        <v>473.48399353984001</v>
      </c>
      <c r="AZ13" s="7"/>
      <c r="BC13" s="12" t="str">
        <f t="shared" si="9"/>
        <v>28 Banking</v>
      </c>
      <c r="BD13" s="13">
        <f t="shared" si="9"/>
        <v>14887.04194489512</v>
      </c>
      <c r="BE13" s="13">
        <f t="shared" si="9"/>
        <v>167892.36804621571</v>
      </c>
      <c r="BF13" s="14">
        <f t="shared" ref="BF13:BF16" si="10">BE13-BD13</f>
        <v>153005.32610132059</v>
      </c>
      <c r="BG13" s="28">
        <f t="shared" ref="BG13" si="11">BF13-BF5</f>
        <v>141268.50458829463</v>
      </c>
      <c r="BH13" s="15">
        <f>(((BE13/BD13)^(1/($BE$3-$BD$3)))-1)*100</f>
        <v>27.41549749319001</v>
      </c>
      <c r="BI13" s="13">
        <f t="shared" ref="BI13:BI16" si="12">BH13/BH5</f>
        <v>4.5803535078456186</v>
      </c>
      <c r="BJ13"/>
      <c r="BK13" s="26"/>
      <c r="BM13" s="6">
        <f>BG13-BM12</f>
        <v>20.849632093217224</v>
      </c>
    </row>
    <row r="14" spans="1:65" s="6" customFormat="1" x14ac:dyDescent="0.35">
      <c r="A14" s="50" t="s">
        <v>32</v>
      </c>
      <c r="B14" s="50">
        <v>5.3999999999999999E-2</v>
      </c>
      <c r="C14" s="50">
        <v>77803.008000000002</v>
      </c>
      <c r="D14" s="50">
        <v>225688.90599999999</v>
      </c>
      <c r="E14" s="50">
        <v>303491.96899999998</v>
      </c>
      <c r="G14" s="50" t="s">
        <v>32</v>
      </c>
      <c r="H14" s="50">
        <v>28.28124</v>
      </c>
      <c r="I14" s="50">
        <v>27.191875</v>
      </c>
      <c r="J14" s="50">
        <v>28.425096</v>
      </c>
      <c r="L14" s="51" t="s">
        <v>32</v>
      </c>
      <c r="M14" s="51">
        <v>56.900159000000002</v>
      </c>
      <c r="N14" s="51">
        <v>57.145806</v>
      </c>
      <c r="O14" s="51">
        <v>61.629776</v>
      </c>
      <c r="Q14" s="6" t="s">
        <v>32</v>
      </c>
      <c r="R14" s="6">
        <f t="shared" si="4"/>
        <v>6.9271869600000008E-2</v>
      </c>
      <c r="S14" s="6">
        <f t="shared" si="5"/>
        <v>8.4726085860000008E-2</v>
      </c>
      <c r="Z14" s="7"/>
      <c r="AA14" s="46" t="str">
        <f t="shared" si="0"/>
        <v>12 RiceMilling</v>
      </c>
      <c r="AB14" s="46">
        <f t="shared" si="0"/>
        <v>5.3999999999999999E-2</v>
      </c>
      <c r="AC14" s="46">
        <v>77803.008000000002</v>
      </c>
      <c r="AD14" s="46">
        <v>225688.90599999999</v>
      </c>
      <c r="AE14" s="46">
        <v>303491.96899999998</v>
      </c>
      <c r="AG14" s="41" t="s">
        <v>32</v>
      </c>
      <c r="AH14" s="41">
        <v>28.28124</v>
      </c>
      <c r="AI14" s="41">
        <v>27.191875</v>
      </c>
      <c r="AJ14" s="41">
        <v>28.425096</v>
      </c>
      <c r="AL14" s="47" t="s">
        <v>32</v>
      </c>
      <c r="AM14" s="47">
        <v>56.896974</v>
      </c>
      <c r="AN14" s="47">
        <v>57.145851999999998</v>
      </c>
      <c r="AO14" s="47">
        <v>61.629797000000003</v>
      </c>
      <c r="AQ14" s="6" t="s">
        <v>32</v>
      </c>
      <c r="AR14" s="6">
        <f t="shared" si="1"/>
        <v>6.9271869600000008E-2</v>
      </c>
      <c r="AS14" s="6">
        <f t="shared" si="2"/>
        <v>8.4724365960000006E-2</v>
      </c>
      <c r="AZ14" s="7"/>
      <c r="BC14" s="12" t="str">
        <f t="shared" si="9"/>
        <v>27 InformatTech</v>
      </c>
      <c r="BD14" s="13">
        <f t="shared" si="9"/>
        <v>5360.92394900012</v>
      </c>
      <c r="BE14" s="13">
        <f t="shared" si="9"/>
        <v>9431.72785192841</v>
      </c>
      <c r="BF14" s="14">
        <f t="shared" si="10"/>
        <v>4070.80390292829</v>
      </c>
      <c r="BG14" s="14"/>
      <c r="BH14" s="15">
        <f>(((BE14/BD14)^(1/($BE$3-$BD$3)))-1)*100</f>
        <v>5.8120580358341334</v>
      </c>
      <c r="BI14" s="13">
        <f t="shared" si="12"/>
        <v>0.99996562111371834</v>
      </c>
      <c r="BJ14"/>
      <c r="BK14" s="26"/>
    </row>
    <row r="15" spans="1:65" s="6" customFormat="1" x14ac:dyDescent="0.35">
      <c r="A15" s="50" t="s">
        <v>33</v>
      </c>
      <c r="B15" s="50">
        <v>5285.9179999999997</v>
      </c>
      <c r="C15" s="50">
        <v>363867.75</v>
      </c>
      <c r="D15" s="50">
        <v>800498.625</v>
      </c>
      <c r="E15" s="50">
        <v>1169652.2930000001</v>
      </c>
      <c r="G15" s="50" t="s">
        <v>33</v>
      </c>
      <c r="H15" s="50">
        <v>51.327275</v>
      </c>
      <c r="I15" s="50">
        <v>49.282648000000002</v>
      </c>
      <c r="J15" s="50">
        <v>49.147872</v>
      </c>
      <c r="L15" s="51" t="s">
        <v>33</v>
      </c>
      <c r="M15" s="51">
        <v>130.28083000000001</v>
      </c>
      <c r="N15" s="51">
        <v>100.068309</v>
      </c>
      <c r="O15" s="51">
        <v>102.143154</v>
      </c>
      <c r="Q15" s="6" t="s">
        <v>33</v>
      </c>
      <c r="R15" s="6">
        <f t="shared" si="4"/>
        <v>7999.0356681344983</v>
      </c>
      <c r="S15" s="6">
        <f t="shared" si="5"/>
        <v>12172.455843519399</v>
      </c>
      <c r="Z15" s="7"/>
      <c r="AA15" s="46" t="str">
        <f t="shared" si="0"/>
        <v>13 PetrolRefin</v>
      </c>
      <c r="AB15" s="46">
        <f t="shared" si="0"/>
        <v>5285.9179999999997</v>
      </c>
      <c r="AC15" s="46">
        <v>363867.75</v>
      </c>
      <c r="AD15" s="46">
        <v>800498.625</v>
      </c>
      <c r="AE15" s="46">
        <v>1169652.2930000001</v>
      </c>
      <c r="AG15" s="41" t="s">
        <v>33</v>
      </c>
      <c r="AH15" s="41">
        <v>51.327275</v>
      </c>
      <c r="AI15" s="41">
        <v>49.282648000000002</v>
      </c>
      <c r="AJ15" s="41">
        <v>49.147872</v>
      </c>
      <c r="AL15" s="47" t="s">
        <v>33</v>
      </c>
      <c r="AM15" s="47">
        <v>130.27526</v>
      </c>
      <c r="AN15" s="47">
        <v>100.068224</v>
      </c>
      <c r="AO15" s="47">
        <v>102.143163</v>
      </c>
      <c r="AQ15" s="6" t="s">
        <v>33</v>
      </c>
      <c r="AR15" s="6">
        <f t="shared" si="1"/>
        <v>7999.0356681344983</v>
      </c>
      <c r="AS15" s="6">
        <f t="shared" si="2"/>
        <v>12172.161417886799</v>
      </c>
      <c r="AZ15" s="7"/>
      <c r="BC15" s="12" t="str">
        <f t="shared" si="9"/>
        <v>6 Fishery</v>
      </c>
      <c r="BD15" s="13">
        <f t="shared" si="9"/>
        <v>17374.333117632181</v>
      </c>
      <c r="BE15" s="13">
        <f t="shared" si="9"/>
        <v>23911.021899103049</v>
      </c>
      <c r="BF15" s="14">
        <f t="shared" si="10"/>
        <v>6536.688781470868</v>
      </c>
      <c r="BG15" s="14"/>
      <c r="BH15" s="15">
        <f>(((BE15/BD15)^(1/($BE$3-$BD$3)))-1)*100</f>
        <v>3.2449930377797642</v>
      </c>
      <c r="BI15" s="13">
        <f t="shared" si="12"/>
        <v>0.99998519537854591</v>
      </c>
      <c r="BJ15"/>
      <c r="BK15" s="26"/>
    </row>
    <row r="16" spans="1:65" s="6" customFormat="1" x14ac:dyDescent="0.35">
      <c r="A16" s="50" t="s">
        <v>34</v>
      </c>
      <c r="B16" s="50">
        <v>29167.532999999999</v>
      </c>
      <c r="C16" s="50">
        <v>57226.366999999998</v>
      </c>
      <c r="D16" s="50">
        <v>238778.46900000001</v>
      </c>
      <c r="E16" s="50">
        <v>325172.36900000001</v>
      </c>
      <c r="G16" s="50" t="s">
        <v>34</v>
      </c>
      <c r="H16" s="50">
        <v>64.312206000000003</v>
      </c>
      <c r="I16" s="50">
        <v>66.443530999999993</v>
      </c>
      <c r="J16" s="50">
        <v>63.053184999999999</v>
      </c>
      <c r="L16" s="51" t="s">
        <v>34</v>
      </c>
      <c r="M16" s="51">
        <v>143.93847400000001</v>
      </c>
      <c r="N16" s="51">
        <v>128.106075</v>
      </c>
      <c r="O16" s="51">
        <v>135.52332999999999</v>
      </c>
      <c r="Q16" s="6" t="s">
        <v>34</v>
      </c>
      <c r="R16" s="6">
        <f t="shared" si="4"/>
        <v>47925.816908077977</v>
      </c>
      <c r="S16" s="6">
        <f t="shared" si="5"/>
        <v>71150.834903646421</v>
      </c>
      <c r="Z16" s="7"/>
      <c r="AA16" s="46" t="str">
        <f t="shared" si="0"/>
        <v>14 BasChemicals</v>
      </c>
      <c r="AB16" s="46">
        <f t="shared" si="0"/>
        <v>29167.532999999999</v>
      </c>
      <c r="AC16" s="46">
        <v>57226.366999999998</v>
      </c>
      <c r="AD16" s="46">
        <v>238778.46900000001</v>
      </c>
      <c r="AE16" s="46">
        <v>325172.36900000001</v>
      </c>
      <c r="AG16" s="41" t="s">
        <v>34</v>
      </c>
      <c r="AH16" s="41">
        <v>64.312206000000003</v>
      </c>
      <c r="AI16" s="41">
        <v>66.443530999999993</v>
      </c>
      <c r="AJ16" s="41">
        <v>63.053184999999999</v>
      </c>
      <c r="AL16" s="47" t="s">
        <v>34</v>
      </c>
      <c r="AM16" s="47">
        <v>143.946415</v>
      </c>
      <c r="AN16" s="47">
        <v>128.106022</v>
      </c>
      <c r="AO16" s="47">
        <v>135.52330599999999</v>
      </c>
      <c r="AQ16" s="6" t="s">
        <v>34</v>
      </c>
      <c r="AR16" s="6">
        <f t="shared" si="1"/>
        <v>47925.816908077977</v>
      </c>
      <c r="AS16" s="6">
        <f t="shared" si="2"/>
        <v>71153.151097441951</v>
      </c>
      <c r="AZ16" s="7"/>
      <c r="BC16" s="17" t="str">
        <f t="shared" si="9"/>
        <v>10 FoodProds</v>
      </c>
      <c r="BD16" s="18">
        <f t="shared" si="9"/>
        <v>41763.308316250695</v>
      </c>
      <c r="BE16" s="18">
        <f t="shared" si="9"/>
        <v>53890.837241265224</v>
      </c>
      <c r="BF16" s="19">
        <f t="shared" si="10"/>
        <v>12127.528925014529</v>
      </c>
      <c r="BG16" s="19"/>
      <c r="BH16" s="21">
        <f>(((BE16/BD16)^(1/($BE$3-$BD$3)))-1)*100</f>
        <v>2.5821987811503799</v>
      </c>
      <c r="BI16" s="18">
        <f t="shared" si="12"/>
        <v>0.99992505060129033</v>
      </c>
      <c r="BJ16" s="20"/>
      <c r="BK16" s="29"/>
    </row>
    <row r="17" spans="1:63" s="6" customFormat="1" x14ac:dyDescent="0.35">
      <c r="A17" s="50" t="s">
        <v>35</v>
      </c>
      <c r="B17" s="50">
        <v>170.47800000000001</v>
      </c>
      <c r="C17" s="50">
        <v>35045.675999999999</v>
      </c>
      <c r="D17" s="50">
        <v>54982.421999999999</v>
      </c>
      <c r="E17" s="50">
        <v>90198.574999999997</v>
      </c>
      <c r="G17" s="50" t="s">
        <v>35</v>
      </c>
      <c r="H17" s="50">
        <v>45.744024000000003</v>
      </c>
      <c r="I17" s="50">
        <v>36.318953</v>
      </c>
      <c r="J17" s="50">
        <v>35.500304999999997</v>
      </c>
      <c r="L17" s="51" t="s">
        <v>35</v>
      </c>
      <c r="M17" s="51">
        <v>101.18578599999999</v>
      </c>
      <c r="N17" s="51">
        <v>44.724130000000002</v>
      </c>
      <c r="O17" s="51">
        <v>40.019119000000003</v>
      </c>
      <c r="Q17" s="6" t="s">
        <v>35</v>
      </c>
      <c r="R17" s="6">
        <f t="shared" si="4"/>
        <v>248.46149723472001</v>
      </c>
      <c r="S17" s="6">
        <f t="shared" si="5"/>
        <v>342.97750425708006</v>
      </c>
      <c r="Z17" s="7"/>
      <c r="AA17" s="46" t="str">
        <f t="shared" si="0"/>
        <v>15 Fertilizer</v>
      </c>
      <c r="AB17" s="46">
        <f t="shared" si="0"/>
        <v>170.47800000000001</v>
      </c>
      <c r="AC17" s="46">
        <v>35045.675999999999</v>
      </c>
      <c r="AD17" s="46">
        <v>54982.421999999999</v>
      </c>
      <c r="AE17" s="46">
        <v>90198.574999999997</v>
      </c>
      <c r="AG17" s="41" t="s">
        <v>35</v>
      </c>
      <c r="AH17" s="41">
        <v>45.744024000000003</v>
      </c>
      <c r="AI17" s="41">
        <v>36.318953</v>
      </c>
      <c r="AJ17" s="41">
        <v>35.500304999999997</v>
      </c>
      <c r="AL17" s="47" t="s">
        <v>35</v>
      </c>
      <c r="AM17" s="47">
        <v>101.187603</v>
      </c>
      <c r="AN17" s="47">
        <v>44.724119000000002</v>
      </c>
      <c r="AO17" s="47">
        <v>40.019084999999997</v>
      </c>
      <c r="AQ17" s="6" t="s">
        <v>35</v>
      </c>
      <c r="AR17" s="6">
        <f t="shared" si="1"/>
        <v>248.46149723472001</v>
      </c>
      <c r="AS17" s="6">
        <f t="shared" si="2"/>
        <v>342.98060184233998</v>
      </c>
      <c r="AZ17" s="7"/>
      <c r="BC17"/>
      <c r="BD17" s="30"/>
      <c r="BE17" s="30"/>
      <c r="BF17"/>
      <c r="BG17"/>
      <c r="BH17" s="15"/>
      <c r="BI17" s="30"/>
      <c r="BJ17"/>
      <c r="BK17"/>
    </row>
    <row r="18" spans="1:63" s="6" customFormat="1" x14ac:dyDescent="0.35">
      <c r="A18" s="50" t="s">
        <v>15</v>
      </c>
      <c r="B18" s="50">
        <v>58052.964999999997</v>
      </c>
      <c r="C18" s="50">
        <v>6643.0460000000003</v>
      </c>
      <c r="D18" s="50">
        <v>270923.46899999998</v>
      </c>
      <c r="E18" s="50">
        <v>335619.48</v>
      </c>
      <c r="G18" s="50" t="s">
        <v>15</v>
      </c>
      <c r="H18" s="50">
        <v>68.765811999999997</v>
      </c>
      <c r="I18" s="50">
        <v>67.662514000000002</v>
      </c>
      <c r="J18" s="50">
        <v>69.204260000000005</v>
      </c>
      <c r="L18" s="51" t="s">
        <v>15</v>
      </c>
      <c r="M18" s="51">
        <v>198.75053399999999</v>
      </c>
      <c r="N18" s="51">
        <v>158.43529000000001</v>
      </c>
      <c r="O18" s="51">
        <v>188.50497200000001</v>
      </c>
      <c r="Q18" s="6" t="s">
        <v>15</v>
      </c>
      <c r="R18" s="6">
        <f t="shared" si="4"/>
        <v>97973.557772325788</v>
      </c>
      <c r="S18" s="6">
        <f t="shared" si="5"/>
        <v>173433.54294033311</v>
      </c>
      <c r="Z18" s="7"/>
      <c r="AA18" s="46" t="str">
        <f t="shared" si="0"/>
        <v>16 ElectEqp</v>
      </c>
      <c r="AB18" s="46">
        <f t="shared" si="0"/>
        <v>58052.964999999997</v>
      </c>
      <c r="AC18" s="46">
        <v>6643.0460000000003</v>
      </c>
      <c r="AD18" s="46">
        <v>270923.46899999998</v>
      </c>
      <c r="AE18" s="46">
        <v>335619.48</v>
      </c>
      <c r="AG18" s="41" t="s">
        <v>15</v>
      </c>
      <c r="AH18" s="41">
        <v>68.765811999999997</v>
      </c>
      <c r="AI18" s="41">
        <v>67.662514000000002</v>
      </c>
      <c r="AJ18" s="41">
        <v>69.204260000000005</v>
      </c>
      <c r="AL18" s="47" t="s">
        <v>15</v>
      </c>
      <c r="AM18" s="47">
        <v>198.74601999999999</v>
      </c>
      <c r="AN18" s="47">
        <v>158.43532099999999</v>
      </c>
      <c r="AO18" s="47">
        <v>188.50490199999999</v>
      </c>
      <c r="AQ18" s="6" t="s">
        <v>15</v>
      </c>
      <c r="AR18" s="6">
        <f t="shared" si="1"/>
        <v>97973.557772325788</v>
      </c>
      <c r="AS18" s="6">
        <f t="shared" si="2"/>
        <v>173430.92242949296</v>
      </c>
      <c r="AZ18" s="7"/>
      <c r="BC18" s="31" t="s">
        <v>36</v>
      </c>
      <c r="BD18" s="32">
        <f>[1]rekap_2035!J20</f>
        <v>31.645838452705227</v>
      </c>
      <c r="BE18" s="30"/>
      <c r="BF18"/>
      <c r="BG18"/>
      <c r="BH18" s="15"/>
      <c r="BI18" s="30"/>
      <c r="BJ18"/>
      <c r="BK18"/>
    </row>
    <row r="19" spans="1:63" s="6" customFormat="1" x14ac:dyDescent="0.35">
      <c r="A19" s="50" t="s">
        <v>37</v>
      </c>
      <c r="B19" s="50">
        <v>99728.851999999999</v>
      </c>
      <c r="C19" s="50">
        <v>334051.81300000002</v>
      </c>
      <c r="D19" s="50">
        <v>3081898</v>
      </c>
      <c r="E19" s="50">
        <v>3515678.6639999999</v>
      </c>
      <c r="G19" s="50" t="s">
        <v>37</v>
      </c>
      <c r="H19" s="50">
        <v>64.093987999999996</v>
      </c>
      <c r="I19" s="50">
        <v>58.186974999999997</v>
      </c>
      <c r="J19" s="50">
        <v>64.418119000000004</v>
      </c>
      <c r="L19" s="51" t="s">
        <v>37</v>
      </c>
      <c r="M19" s="51">
        <v>159.24884900000001</v>
      </c>
      <c r="N19" s="51">
        <v>87.447452999999996</v>
      </c>
      <c r="O19" s="51">
        <v>135.58318600000001</v>
      </c>
      <c r="Q19" s="6" t="s">
        <v>37</v>
      </c>
      <c r="R19" s="6">
        <f t="shared" si="4"/>
        <v>163649.05043341775</v>
      </c>
      <c r="S19" s="6">
        <f t="shared" si="5"/>
        <v>258545.90093091349</v>
      </c>
      <c r="Z19" s="7"/>
      <c r="AA19" s="46" t="str">
        <f t="shared" si="0"/>
        <v>17 OthMan</v>
      </c>
      <c r="AB19" s="46">
        <f t="shared" si="0"/>
        <v>99728.851999999999</v>
      </c>
      <c r="AC19" s="46">
        <v>334051.81300000002</v>
      </c>
      <c r="AD19" s="46">
        <v>3081898</v>
      </c>
      <c r="AE19" s="46">
        <v>3515678.6639999999</v>
      </c>
      <c r="AG19" s="41" t="s">
        <v>37</v>
      </c>
      <c r="AH19" s="41">
        <v>64.093987999999996</v>
      </c>
      <c r="AI19" s="41">
        <v>58.186974999999997</v>
      </c>
      <c r="AJ19" s="41">
        <v>64.418119000000004</v>
      </c>
      <c r="AL19" s="47" t="s">
        <v>37</v>
      </c>
      <c r="AM19" s="47">
        <v>159.24987400000001</v>
      </c>
      <c r="AN19" s="47">
        <v>87.447422000000003</v>
      </c>
      <c r="AO19" s="47">
        <v>135.58313200000001</v>
      </c>
      <c r="AQ19" s="6" t="s">
        <v>37</v>
      </c>
      <c r="AR19" s="6">
        <f t="shared" si="1"/>
        <v>163649.05043341775</v>
      </c>
      <c r="AS19" s="6">
        <f t="shared" si="2"/>
        <v>258546.92315164648</v>
      </c>
      <c r="AZ19" s="7"/>
      <c r="BC19" s="33" t="s">
        <v>38</v>
      </c>
      <c r="BD19" s="34">
        <v>39.966200000000001</v>
      </c>
      <c r="BE19" s="30"/>
      <c r="BF19"/>
      <c r="BG19"/>
      <c r="BH19" s="15"/>
      <c r="BI19" s="30"/>
      <c r="BJ19"/>
      <c r="BK19"/>
    </row>
    <row r="20" spans="1:63" s="6" customFormat="1" x14ac:dyDescent="0.35">
      <c r="A20" s="50" t="s">
        <v>39</v>
      </c>
      <c r="B20" s="50">
        <v>10716.023999999999</v>
      </c>
      <c r="C20" s="50">
        <v>91020.789000000004</v>
      </c>
      <c r="D20" s="50">
        <v>425492.75</v>
      </c>
      <c r="E20" s="50">
        <v>527229.56299999997</v>
      </c>
      <c r="G20" s="50" t="s">
        <v>39</v>
      </c>
      <c r="H20" s="50">
        <v>53.496079000000002</v>
      </c>
      <c r="I20" s="50">
        <v>42.305278000000001</v>
      </c>
      <c r="J20" s="50">
        <v>44.500582000000001</v>
      </c>
      <c r="L20" s="51" t="s">
        <v>39</v>
      </c>
      <c r="M20" s="51">
        <v>153.646019</v>
      </c>
      <c r="N20" s="51">
        <v>109.157415</v>
      </c>
      <c r="O20" s="51">
        <v>116.228808</v>
      </c>
      <c r="Q20" s="6" t="s">
        <v>39</v>
      </c>
      <c r="R20" s="6">
        <f t="shared" si="4"/>
        <v>16448.67666469896</v>
      </c>
      <c r="S20" s="6">
        <f t="shared" si="5"/>
        <v>27180.768271084558</v>
      </c>
      <c r="Z20" s="7"/>
      <c r="AA20" s="46" t="str">
        <f t="shared" si="0"/>
        <v>18 ElecGas</v>
      </c>
      <c r="AB20" s="46">
        <f t="shared" si="0"/>
        <v>10716.023999999999</v>
      </c>
      <c r="AC20" s="46">
        <v>91020.789000000004</v>
      </c>
      <c r="AD20" s="46">
        <v>425492.75</v>
      </c>
      <c r="AE20" s="46">
        <v>527229.56299999997</v>
      </c>
      <c r="AG20" s="41" t="s">
        <v>39</v>
      </c>
      <c r="AH20" s="41">
        <v>53.496079000000002</v>
      </c>
      <c r="AI20" s="41">
        <v>42.305278000000001</v>
      </c>
      <c r="AJ20" s="41">
        <v>44.500582000000001</v>
      </c>
      <c r="AL20" s="47" t="s">
        <v>39</v>
      </c>
      <c r="AM20" s="47">
        <v>153.63765100000001</v>
      </c>
      <c r="AN20" s="47">
        <v>109.15750800000001</v>
      </c>
      <c r="AO20" s="47">
        <v>116.228796</v>
      </c>
      <c r="AQ20" s="6" t="s">
        <v>39</v>
      </c>
      <c r="AR20" s="6">
        <f t="shared" si="1"/>
        <v>16448.67666469896</v>
      </c>
      <c r="AS20" s="6">
        <f t="shared" si="2"/>
        <v>27179.871554196241</v>
      </c>
      <c r="AZ20" s="7"/>
      <c r="BC20"/>
      <c r="BD20" s="30"/>
      <c r="BE20" s="30"/>
      <c r="BF20"/>
      <c r="BG20"/>
      <c r="BH20" s="15"/>
      <c r="BI20" s="30"/>
      <c r="BJ20"/>
      <c r="BK20"/>
    </row>
    <row r="21" spans="1:63" s="6" customFormat="1" x14ac:dyDescent="0.35">
      <c r="A21" s="50" t="s">
        <v>40</v>
      </c>
      <c r="B21" s="50">
        <v>2669.326</v>
      </c>
      <c r="C21" s="50">
        <v>29005.68</v>
      </c>
      <c r="D21" s="50">
        <v>123402.69500000001</v>
      </c>
      <c r="E21" s="50">
        <v>155077.701</v>
      </c>
      <c r="G21" s="50" t="s">
        <v>40</v>
      </c>
      <c r="H21" s="50">
        <v>53.395803999999998</v>
      </c>
      <c r="I21" s="50">
        <v>51.351492999999998</v>
      </c>
      <c r="J21" s="50">
        <v>47.827978999999999</v>
      </c>
      <c r="L21" s="51" t="s">
        <v>40</v>
      </c>
      <c r="M21" s="51">
        <v>163.108315</v>
      </c>
      <c r="N21" s="51">
        <v>142.58356699999999</v>
      </c>
      <c r="O21" s="51">
        <v>133.45695900000001</v>
      </c>
      <c r="Q21" s="6" t="s">
        <v>40</v>
      </c>
      <c r="R21" s="6">
        <f t="shared" si="4"/>
        <v>4094.63407908104</v>
      </c>
      <c r="S21" s="6">
        <f t="shared" si="5"/>
        <v>7023.2186604569006</v>
      </c>
      <c r="Z21" s="7"/>
      <c r="AA21" s="46" t="str">
        <f t="shared" si="0"/>
        <v>19 OthUtil</v>
      </c>
      <c r="AB21" s="46">
        <f t="shared" si="0"/>
        <v>2669.326</v>
      </c>
      <c r="AC21" s="46">
        <v>29005.68</v>
      </c>
      <c r="AD21" s="46">
        <v>123402.69500000001</v>
      </c>
      <c r="AE21" s="46">
        <v>155077.701</v>
      </c>
      <c r="AG21" s="41" t="s">
        <v>40</v>
      </c>
      <c r="AH21" s="41">
        <v>53.395803999999998</v>
      </c>
      <c r="AI21" s="41">
        <v>51.351492999999998</v>
      </c>
      <c r="AJ21" s="41">
        <v>47.827978999999999</v>
      </c>
      <c r="AL21" s="47" t="s">
        <v>40</v>
      </c>
      <c r="AM21" s="47">
        <v>163.093681</v>
      </c>
      <c r="AN21" s="47">
        <v>142.583519</v>
      </c>
      <c r="AO21" s="47">
        <v>133.45692600000001</v>
      </c>
      <c r="AQ21" s="6" t="s">
        <v>40</v>
      </c>
      <c r="AR21" s="6">
        <f t="shared" si="1"/>
        <v>4094.63407908104</v>
      </c>
      <c r="AS21" s="6">
        <f t="shared" si="2"/>
        <v>7022.8280312900606</v>
      </c>
      <c r="AZ21" s="7"/>
      <c r="BC21"/>
      <c r="BD21" s="30"/>
      <c r="BE21" s="30"/>
      <c r="BF21"/>
      <c r="BG21"/>
      <c r="BH21" s="15"/>
      <c r="BI21" s="30"/>
      <c r="BJ21"/>
      <c r="BK21"/>
    </row>
    <row r="22" spans="1:63" s="6" customFormat="1" x14ac:dyDescent="0.35">
      <c r="A22" s="50" t="s">
        <v>41</v>
      </c>
      <c r="B22" s="50">
        <v>54123.940999999999</v>
      </c>
      <c r="C22" s="50">
        <v>611124.18799999997</v>
      </c>
      <c r="D22" s="50">
        <v>2546878.75</v>
      </c>
      <c r="E22" s="50">
        <v>3212126.8790000002</v>
      </c>
      <c r="G22" s="50" t="s">
        <v>41</v>
      </c>
      <c r="H22" s="50">
        <v>70.893398000000005</v>
      </c>
      <c r="I22" s="50">
        <v>54.880324000000002</v>
      </c>
      <c r="J22" s="50">
        <v>60.231288999999997</v>
      </c>
      <c r="L22" s="51" t="s">
        <v>41</v>
      </c>
      <c r="M22" s="51">
        <v>193.58201099999999</v>
      </c>
      <c r="N22" s="51">
        <v>130.47510399999999</v>
      </c>
      <c r="O22" s="51">
        <v>142.67486500000001</v>
      </c>
      <c r="Q22" s="6" t="s">
        <v>41</v>
      </c>
      <c r="R22" s="6">
        <f t="shared" si="4"/>
        <v>92494.241906415176</v>
      </c>
      <c r="S22" s="6">
        <f t="shared" si="5"/>
        <v>158898.1544202535</v>
      </c>
      <c r="Z22" s="7"/>
      <c r="AA22" s="46" t="str">
        <f t="shared" si="0"/>
        <v>20 Construction</v>
      </c>
      <c r="AB22" s="46">
        <f t="shared" si="0"/>
        <v>54123.940999999999</v>
      </c>
      <c r="AC22" s="46">
        <v>611124.18799999997</v>
      </c>
      <c r="AD22" s="46">
        <v>2546878.75</v>
      </c>
      <c r="AE22" s="46">
        <v>3212126.8790000002</v>
      </c>
      <c r="AG22" s="41" t="s">
        <v>41</v>
      </c>
      <c r="AH22" s="41">
        <v>70.893398000000005</v>
      </c>
      <c r="AI22" s="41">
        <v>54.880324000000002</v>
      </c>
      <c r="AJ22" s="41">
        <v>60.231288999999997</v>
      </c>
      <c r="AL22" s="47" t="s">
        <v>41</v>
      </c>
      <c r="AM22" s="47">
        <v>193.58148600000001</v>
      </c>
      <c r="AN22" s="47">
        <v>130.475144</v>
      </c>
      <c r="AO22" s="47">
        <v>142.674815</v>
      </c>
      <c r="AQ22" s="6" t="s">
        <v>41</v>
      </c>
      <c r="AR22" s="6">
        <f t="shared" si="1"/>
        <v>92494.241906415176</v>
      </c>
      <c r="AS22" s="6">
        <f t="shared" si="2"/>
        <v>158897.87026956328</v>
      </c>
      <c r="AZ22" s="7"/>
      <c r="BC22"/>
      <c r="BD22" s="30"/>
      <c r="BE22" s="30"/>
      <c r="BF22"/>
      <c r="BG22"/>
      <c r="BH22" s="15"/>
      <c r="BI22" s="30"/>
      <c r="BJ22"/>
      <c r="BK22"/>
    </row>
    <row r="23" spans="1:63" s="6" customFormat="1" x14ac:dyDescent="0.35">
      <c r="A23" s="50" t="s">
        <v>42</v>
      </c>
      <c r="B23" s="50">
        <v>96257.843999999997</v>
      </c>
      <c r="C23" s="50">
        <v>814229.81299999997</v>
      </c>
      <c r="D23" s="50">
        <v>3679123</v>
      </c>
      <c r="E23" s="50">
        <v>4589610.6560000004</v>
      </c>
      <c r="G23" s="50" t="s">
        <v>42</v>
      </c>
      <c r="H23" s="50">
        <v>70.072204999999997</v>
      </c>
      <c r="I23" s="50">
        <v>67.130213999999995</v>
      </c>
      <c r="J23" s="50">
        <v>67.279860999999997</v>
      </c>
      <c r="L23" s="51" t="s">
        <v>42</v>
      </c>
      <c r="M23" s="51">
        <v>221.31779299999999</v>
      </c>
      <c r="N23" s="51">
        <v>201.83788999999999</v>
      </c>
      <c r="O23" s="51">
        <v>201.45059499999999</v>
      </c>
      <c r="Q23" s="6" t="s">
        <v>42</v>
      </c>
      <c r="R23" s="6">
        <f t="shared" si="4"/>
        <v>163707.83777626019</v>
      </c>
      <c r="S23" s="6">
        <f t="shared" si="5"/>
        <v>309293.5799301829</v>
      </c>
      <c r="Z23" s="7"/>
      <c r="AA23" s="46" t="str">
        <f t="shared" si="0"/>
        <v>21 Trade</v>
      </c>
      <c r="AB23" s="46">
        <f t="shared" si="0"/>
        <v>96257.843999999997</v>
      </c>
      <c r="AC23" s="46">
        <v>814229.81299999997</v>
      </c>
      <c r="AD23" s="46">
        <v>3679123</v>
      </c>
      <c r="AE23" s="46">
        <v>4589610.6560000004</v>
      </c>
      <c r="AG23" s="41" t="s">
        <v>42</v>
      </c>
      <c r="AH23" s="41">
        <v>70.072204999999997</v>
      </c>
      <c r="AI23" s="41">
        <v>67.130213999999995</v>
      </c>
      <c r="AJ23" s="41">
        <v>67.279860999999997</v>
      </c>
      <c r="AL23" s="47" t="s">
        <v>42</v>
      </c>
      <c r="AM23" s="47">
        <v>221.32105899999999</v>
      </c>
      <c r="AN23" s="47">
        <v>201.83802700000001</v>
      </c>
      <c r="AO23" s="47">
        <v>201.45072999999999</v>
      </c>
      <c r="AQ23" s="6" t="s">
        <v>42</v>
      </c>
      <c r="AR23" s="6">
        <f t="shared" si="1"/>
        <v>163707.83777626019</v>
      </c>
      <c r="AS23" s="6">
        <f t="shared" si="2"/>
        <v>309296.72371136799</v>
      </c>
      <c r="AZ23" s="7"/>
      <c r="BC23"/>
      <c r="BD23" s="30"/>
      <c r="BE23" s="30"/>
      <c r="BF23"/>
      <c r="BG23"/>
      <c r="BH23" s="15"/>
      <c r="BI23" s="30"/>
      <c r="BJ23"/>
      <c r="BK23"/>
    </row>
    <row r="24" spans="1:63" s="6" customFormat="1" x14ac:dyDescent="0.35">
      <c r="A24" s="50" t="s">
        <v>43</v>
      </c>
      <c r="B24" s="50">
        <v>4062.8510000000001</v>
      </c>
      <c r="C24" s="50">
        <v>187120.766</v>
      </c>
      <c r="D24" s="50">
        <v>845783.75</v>
      </c>
      <c r="E24" s="50">
        <v>1036967.367</v>
      </c>
      <c r="G24" s="50" t="s">
        <v>43</v>
      </c>
      <c r="H24" s="50">
        <v>58.442678999999998</v>
      </c>
      <c r="I24" s="50">
        <v>46.359059999999999</v>
      </c>
      <c r="J24" s="50">
        <v>49.381028999999998</v>
      </c>
      <c r="L24" s="51" t="s">
        <v>43</v>
      </c>
      <c r="M24" s="51">
        <v>189.18246099999999</v>
      </c>
      <c r="N24" s="51">
        <v>130.23587800000001</v>
      </c>
      <c r="O24" s="51">
        <v>137.399913</v>
      </c>
      <c r="Q24" s="6" t="s">
        <v>43</v>
      </c>
      <c r="R24" s="6">
        <f t="shared" si="4"/>
        <v>6437.2899681782901</v>
      </c>
      <c r="S24" s="6">
        <f t="shared" si="5"/>
        <v>11749.052508563111</v>
      </c>
      <c r="Z24" s="7"/>
      <c r="AA24" s="46" t="str">
        <f t="shared" si="0"/>
        <v>22 LandRailTr</v>
      </c>
      <c r="AB24" s="46">
        <f t="shared" si="0"/>
        <v>4062.8510000000001</v>
      </c>
      <c r="AC24" s="46">
        <v>187120.766</v>
      </c>
      <c r="AD24" s="46">
        <v>845783.75</v>
      </c>
      <c r="AE24" s="46">
        <v>1036967.367</v>
      </c>
      <c r="AG24" s="41" t="s">
        <v>43</v>
      </c>
      <c r="AH24" s="41">
        <v>58.442678999999998</v>
      </c>
      <c r="AI24" s="41">
        <v>46.359059999999999</v>
      </c>
      <c r="AJ24" s="41">
        <v>49.381028999999998</v>
      </c>
      <c r="AL24" s="47" t="s">
        <v>43</v>
      </c>
      <c r="AM24" s="47">
        <v>189.18153100000001</v>
      </c>
      <c r="AN24" s="47">
        <v>130.23588599999999</v>
      </c>
      <c r="AO24" s="47">
        <v>137.39996300000001</v>
      </c>
      <c r="AQ24" s="6" t="s">
        <v>43</v>
      </c>
      <c r="AR24" s="6">
        <f t="shared" si="1"/>
        <v>6437.2899681782901</v>
      </c>
      <c r="AS24" s="6">
        <f t="shared" si="2"/>
        <v>11749.014724048811</v>
      </c>
      <c r="AZ24" s="7"/>
      <c r="BC24"/>
      <c r="BD24" s="30"/>
      <c r="BE24" s="30"/>
      <c r="BF24"/>
      <c r="BG24"/>
      <c r="BH24" s="15"/>
      <c r="BI24" s="30"/>
      <c r="BJ24"/>
      <c r="BK24"/>
    </row>
    <row r="25" spans="1:63" s="6" customFormat="1" x14ac:dyDescent="0.35">
      <c r="A25" s="50" t="s">
        <v>44</v>
      </c>
      <c r="B25" s="50">
        <v>6541.4480000000003</v>
      </c>
      <c r="C25" s="50">
        <v>31047.758000000002</v>
      </c>
      <c r="D25" s="50">
        <v>120882.617</v>
      </c>
      <c r="E25" s="50">
        <v>158471.823</v>
      </c>
      <c r="G25" s="50" t="s">
        <v>44</v>
      </c>
      <c r="H25" s="50">
        <v>59.452903999999997</v>
      </c>
      <c r="I25" s="50">
        <v>50.728760000000001</v>
      </c>
      <c r="J25" s="50">
        <v>52.773403000000002</v>
      </c>
      <c r="L25" s="51" t="s">
        <v>44</v>
      </c>
      <c r="M25" s="51">
        <v>185.74007700000001</v>
      </c>
      <c r="N25" s="51">
        <v>137.965844</v>
      </c>
      <c r="O25" s="51">
        <v>144.92602600000001</v>
      </c>
      <c r="Q25" s="6" t="s">
        <v>44</v>
      </c>
      <c r="R25" s="6">
        <f t="shared" si="4"/>
        <v>10430.528799649919</v>
      </c>
      <c r="S25" s="6">
        <f t="shared" si="5"/>
        <v>18691.538552114962</v>
      </c>
      <c r="Z25" s="7"/>
      <c r="AA25" s="46" t="str">
        <f t="shared" si="0"/>
        <v>23 SeaRiverTr</v>
      </c>
      <c r="AB25" s="46">
        <f t="shared" si="0"/>
        <v>6541.4480000000003</v>
      </c>
      <c r="AC25" s="46">
        <v>31047.758000000002</v>
      </c>
      <c r="AD25" s="46">
        <v>120882.617</v>
      </c>
      <c r="AE25" s="46">
        <v>158471.823</v>
      </c>
      <c r="AG25" s="41" t="s">
        <v>44</v>
      </c>
      <c r="AH25" s="41">
        <v>59.452903999999997</v>
      </c>
      <c r="AI25" s="41">
        <v>50.728760000000001</v>
      </c>
      <c r="AJ25" s="41">
        <v>52.773403000000002</v>
      </c>
      <c r="AL25" s="47" t="s">
        <v>44</v>
      </c>
      <c r="AM25" s="47">
        <v>185.739453</v>
      </c>
      <c r="AN25" s="47">
        <v>137.965915</v>
      </c>
      <c r="AO25" s="47">
        <v>144.92613700000001</v>
      </c>
      <c r="AQ25" s="6" t="s">
        <v>44</v>
      </c>
      <c r="AR25" s="6">
        <f t="shared" si="1"/>
        <v>10430.528799649919</v>
      </c>
      <c r="AS25" s="6">
        <f t="shared" si="2"/>
        <v>18691.497733479442</v>
      </c>
      <c r="AZ25" s="7"/>
      <c r="BC25"/>
      <c r="BD25" s="30"/>
      <c r="BE25" s="30"/>
      <c r="BF25"/>
      <c r="BG25"/>
      <c r="BH25" s="15"/>
      <c r="BI25" s="30"/>
      <c r="BJ25"/>
      <c r="BK25"/>
    </row>
    <row r="26" spans="1:63" s="6" customFormat="1" x14ac:dyDescent="0.35">
      <c r="A26" s="50" t="s">
        <v>45</v>
      </c>
      <c r="B26" s="50">
        <v>13883.567999999999</v>
      </c>
      <c r="C26" s="50">
        <v>52435.457000000002</v>
      </c>
      <c r="D26" s="50">
        <v>319620.59399999998</v>
      </c>
      <c r="E26" s="50">
        <v>385939.61900000001</v>
      </c>
      <c r="G26" s="50" t="s">
        <v>45</v>
      </c>
      <c r="H26" s="50">
        <v>79.308510999999996</v>
      </c>
      <c r="I26" s="50">
        <v>71.418118000000007</v>
      </c>
      <c r="J26" s="50">
        <v>73.281598000000002</v>
      </c>
      <c r="L26" s="51" t="s">
        <v>45</v>
      </c>
      <c r="M26" s="51">
        <v>256.21411799999998</v>
      </c>
      <c r="N26" s="51">
        <v>227.80313000000001</v>
      </c>
      <c r="O26" s="51">
        <v>219.80749399999999</v>
      </c>
      <c r="Q26" s="6" t="s">
        <v>45</v>
      </c>
      <c r="R26" s="6">
        <f t="shared" si="4"/>
        <v>24894.419054472481</v>
      </c>
      <c r="S26" s="6">
        <f t="shared" si="5"/>
        <v>49455.229298130238</v>
      </c>
      <c r="Z26" s="7"/>
      <c r="AA26" s="46" t="str">
        <f t="shared" si="0"/>
        <v>24 AirTransport</v>
      </c>
      <c r="AB26" s="46">
        <f t="shared" si="0"/>
        <v>13883.567999999999</v>
      </c>
      <c r="AC26" s="46">
        <v>52435.457000000002</v>
      </c>
      <c r="AD26" s="46">
        <v>319620.59399999998</v>
      </c>
      <c r="AE26" s="46">
        <v>385939.61900000001</v>
      </c>
      <c r="AG26" s="41" t="s">
        <v>45</v>
      </c>
      <c r="AH26" s="41">
        <v>79.308510999999996</v>
      </c>
      <c r="AI26" s="41">
        <v>71.418118000000007</v>
      </c>
      <c r="AJ26" s="41">
        <v>73.281598000000002</v>
      </c>
      <c r="AL26" s="47" t="s">
        <v>45</v>
      </c>
      <c r="AM26" s="47">
        <v>256.21400899999998</v>
      </c>
      <c r="AN26" s="47">
        <v>227.80318</v>
      </c>
      <c r="AO26" s="47">
        <v>219.807444</v>
      </c>
      <c r="AQ26" s="6" t="s">
        <v>45</v>
      </c>
      <c r="AR26" s="6">
        <f t="shared" si="1"/>
        <v>24894.419054472481</v>
      </c>
      <c r="AS26" s="6">
        <f t="shared" si="2"/>
        <v>49455.214165041114</v>
      </c>
      <c r="AZ26" s="7"/>
    </row>
    <row r="27" spans="1:63" s="6" customFormat="1" x14ac:dyDescent="0.35">
      <c r="A27" s="50" t="s">
        <v>46</v>
      </c>
      <c r="B27" s="50">
        <v>2370.9949999999999</v>
      </c>
      <c r="C27" s="50">
        <v>51345.296999999999</v>
      </c>
      <c r="D27" s="50">
        <v>311373.28100000002</v>
      </c>
      <c r="E27" s="50">
        <v>365089.57299999997</v>
      </c>
      <c r="G27" s="50" t="s">
        <v>46</v>
      </c>
      <c r="H27" s="50">
        <v>67.980349000000004</v>
      </c>
      <c r="I27" s="50">
        <v>60.454757000000001</v>
      </c>
      <c r="J27" s="50">
        <v>61.922206000000003</v>
      </c>
      <c r="L27" s="51" t="s">
        <v>46</v>
      </c>
      <c r="M27" s="51">
        <v>216.11655200000001</v>
      </c>
      <c r="N27" s="51">
        <v>163.07003399999999</v>
      </c>
      <c r="O27" s="51">
        <v>170.43085099999999</v>
      </c>
      <c r="Q27" s="6" t="s">
        <v>46</v>
      </c>
      <c r="R27" s="6">
        <f t="shared" si="4"/>
        <v>3982.8056757725494</v>
      </c>
      <c r="S27" s="6">
        <f t="shared" si="5"/>
        <v>7495.1076420923991</v>
      </c>
      <c r="Z27" s="7"/>
      <c r="AA27" s="46" t="str">
        <f t="shared" si="0"/>
        <v>25 OthTrans</v>
      </c>
      <c r="AB27" s="46">
        <f t="shared" si="0"/>
        <v>2370.9949999999999</v>
      </c>
      <c r="AC27" s="46">
        <v>51345.296999999999</v>
      </c>
      <c r="AD27" s="46">
        <v>311373.28100000002</v>
      </c>
      <c r="AE27" s="46">
        <v>365089.57299999997</v>
      </c>
      <c r="AG27" s="41" t="s">
        <v>46</v>
      </c>
      <c r="AH27" s="41">
        <v>67.980349000000004</v>
      </c>
      <c r="AI27" s="41">
        <v>60.454757000000001</v>
      </c>
      <c r="AJ27" s="41">
        <v>61.922206000000003</v>
      </c>
      <c r="AL27" s="47" t="s">
        <v>46</v>
      </c>
      <c r="AM27" s="47">
        <v>216.11419599999999</v>
      </c>
      <c r="AN27" s="47">
        <v>163.07002800000001</v>
      </c>
      <c r="AO27" s="47">
        <v>170.43084999999999</v>
      </c>
      <c r="AQ27" s="6" t="s">
        <v>46</v>
      </c>
      <c r="AR27" s="6">
        <f t="shared" si="1"/>
        <v>3982.8056757725494</v>
      </c>
      <c r="AS27" s="6">
        <f t="shared" si="2"/>
        <v>7495.0517814502</v>
      </c>
      <c r="AZ27" s="7"/>
      <c r="BC27" s="6" t="str">
        <f>BM11</f>
        <v>target selisih B-P</v>
      </c>
      <c r="BD27" s="6">
        <f>BM12</f>
        <v>141247.65495620141</v>
      </c>
    </row>
    <row r="28" spans="1:63" s="6" customFormat="1" x14ac:dyDescent="0.35">
      <c r="A28" s="50" t="s">
        <v>47</v>
      </c>
      <c r="B28" s="50">
        <v>10078.642</v>
      </c>
      <c r="C28" s="50">
        <v>143003.07800000001</v>
      </c>
      <c r="D28" s="50">
        <v>902663.875</v>
      </c>
      <c r="E28" s="50">
        <v>1055745.595</v>
      </c>
      <c r="G28" s="50" t="s">
        <v>47</v>
      </c>
      <c r="H28" s="50">
        <v>52.632365</v>
      </c>
      <c r="I28" s="50">
        <v>49.193900999999997</v>
      </c>
      <c r="J28" s="50">
        <v>50.151677999999997</v>
      </c>
      <c r="L28" s="51" t="s">
        <v>47</v>
      </c>
      <c r="M28" s="51">
        <v>156.11385200000001</v>
      </c>
      <c r="N28" s="51">
        <v>134.545233</v>
      </c>
      <c r="O28" s="51">
        <v>134.98434</v>
      </c>
      <c r="Q28" s="6" t="s">
        <v>47</v>
      </c>
      <c r="R28" s="6">
        <f t="shared" si="4"/>
        <v>15383.269644483298</v>
      </c>
      <c r="S28" s="6">
        <f t="shared" si="5"/>
        <v>25812.798255489841</v>
      </c>
      <c r="Z28" s="7"/>
      <c r="AA28" s="46" t="str">
        <f t="shared" si="0"/>
        <v>26 Telecommunic</v>
      </c>
      <c r="AB28" s="46">
        <f t="shared" si="0"/>
        <v>10078.642</v>
      </c>
      <c r="AC28" s="46">
        <v>143003.07800000001</v>
      </c>
      <c r="AD28" s="46">
        <v>902663.875</v>
      </c>
      <c r="AE28" s="46">
        <v>1055745.595</v>
      </c>
      <c r="AG28" s="41" t="s">
        <v>47</v>
      </c>
      <c r="AH28" s="41">
        <v>52.632365</v>
      </c>
      <c r="AI28" s="41">
        <v>49.193900999999997</v>
      </c>
      <c r="AJ28" s="41">
        <v>50.151677999999997</v>
      </c>
      <c r="AL28" s="47" t="s">
        <v>47</v>
      </c>
      <c r="AM28" s="47">
        <v>156.10461799999999</v>
      </c>
      <c r="AN28" s="47">
        <v>134.54526300000001</v>
      </c>
      <c r="AO28" s="47">
        <v>134.98433900000001</v>
      </c>
      <c r="AQ28" s="6" t="s">
        <v>47</v>
      </c>
      <c r="AR28" s="6">
        <f t="shared" si="1"/>
        <v>15383.269644483298</v>
      </c>
      <c r="AS28" s="6">
        <f t="shared" si="2"/>
        <v>25811.867593687555</v>
      </c>
      <c r="AZ28" s="7"/>
      <c r="BC28" s="6" t="s">
        <v>48</v>
      </c>
      <c r="BD28" s="6" t="s">
        <v>49</v>
      </c>
    </row>
    <row r="29" spans="1:63" s="6" customFormat="1" x14ac:dyDescent="0.35">
      <c r="A29" s="50" t="s">
        <v>22</v>
      </c>
      <c r="B29" s="50">
        <v>3223.7710000000002</v>
      </c>
      <c r="C29" s="50">
        <v>33895.527000000002</v>
      </c>
      <c r="D29" s="50">
        <v>163840.65599999999</v>
      </c>
      <c r="E29" s="50">
        <v>200959.954</v>
      </c>
      <c r="G29" s="50" t="s">
        <v>22</v>
      </c>
      <c r="H29" s="50">
        <v>66.293571999999998</v>
      </c>
      <c r="I29" s="50">
        <v>59.499029</v>
      </c>
      <c r="J29" s="50">
        <v>60.004390999999998</v>
      </c>
      <c r="L29" s="51" t="s">
        <v>22</v>
      </c>
      <c r="M29" s="51">
        <v>192.57369600000001</v>
      </c>
      <c r="N29" s="51">
        <v>164.39426700000001</v>
      </c>
      <c r="O29" s="51">
        <v>161.18444400000001</v>
      </c>
      <c r="Q29" s="6" t="s">
        <v>22</v>
      </c>
      <c r="R29" s="6">
        <f t="shared" si="4"/>
        <v>5360.92394900012</v>
      </c>
      <c r="S29" s="6">
        <f t="shared" si="5"/>
        <v>9431.9059652761625</v>
      </c>
      <c r="Z29" s="7"/>
      <c r="AA29" s="46" t="str">
        <f t="shared" si="0"/>
        <v>27 InformatTech</v>
      </c>
      <c r="AB29" s="46">
        <f t="shared" si="0"/>
        <v>3223.7710000000002</v>
      </c>
      <c r="AC29" s="46">
        <v>33895.527000000002</v>
      </c>
      <c r="AD29" s="46">
        <v>163840.65599999999</v>
      </c>
      <c r="AE29" s="46">
        <v>200959.954</v>
      </c>
      <c r="AG29" s="41" t="s">
        <v>22</v>
      </c>
      <c r="AH29" s="41">
        <v>66.293571999999998</v>
      </c>
      <c r="AI29" s="41">
        <v>59.499029</v>
      </c>
      <c r="AJ29" s="41">
        <v>60.004390999999998</v>
      </c>
      <c r="AL29" s="47" t="s">
        <v>22</v>
      </c>
      <c r="AM29" s="47">
        <v>192.56817100000001</v>
      </c>
      <c r="AN29" s="47">
        <v>164.39432600000001</v>
      </c>
      <c r="AO29" s="47">
        <v>161.184359</v>
      </c>
      <c r="AQ29" s="6" t="s">
        <v>22</v>
      </c>
      <c r="AR29" s="6">
        <f t="shared" si="1"/>
        <v>5360.92394900012</v>
      </c>
      <c r="AS29" s="6">
        <f t="shared" si="2"/>
        <v>9431.72785192841</v>
      </c>
      <c r="AZ29" s="7"/>
      <c r="BC29" s="35">
        <v>31.6</v>
      </c>
      <c r="BD29" s="6">
        <v>83986.099116779413</v>
      </c>
      <c r="BE29">
        <f t="shared" ref="BE29:BE36" si="13">BC29</f>
        <v>31.6</v>
      </c>
      <c r="BF29" s="6">
        <f>BD29-$BD$27</f>
        <v>-57261.555839421999</v>
      </c>
      <c r="BG29" s="6">
        <f>BF29/$BD$27*100</f>
        <v>-40.539827622042907</v>
      </c>
    </row>
    <row r="30" spans="1:63" s="6" customFormat="1" x14ac:dyDescent="0.35">
      <c r="A30" s="50" t="s">
        <v>20</v>
      </c>
      <c r="B30" s="50">
        <v>9230.9509999999991</v>
      </c>
      <c r="C30" s="50">
        <v>125252.45299999999</v>
      </c>
      <c r="D30" s="50">
        <v>827726.56299999997</v>
      </c>
      <c r="E30" s="50">
        <v>962209.96699999995</v>
      </c>
      <c r="G30" s="50" t="s">
        <v>20</v>
      </c>
      <c r="H30" s="50">
        <v>61.273111999999998</v>
      </c>
      <c r="I30" s="50">
        <v>61.977103</v>
      </c>
      <c r="J30" s="50">
        <v>61.145924000000001</v>
      </c>
      <c r="L30" s="51" t="s">
        <v>20</v>
      </c>
      <c r="M30" s="51">
        <v>188.41950800000001</v>
      </c>
      <c r="N30" s="51">
        <v>174.08636999999999</v>
      </c>
      <c r="O30" s="51">
        <v>176.48161300000001</v>
      </c>
      <c r="Q30" s="6" t="s">
        <v>20</v>
      </c>
      <c r="R30" s="6">
        <f t="shared" si="4"/>
        <v>14887.04194489512</v>
      </c>
      <c r="S30" s="6">
        <f t="shared" si="5"/>
        <v>26623.863457921077</v>
      </c>
      <c r="Z30" s="7"/>
      <c r="AA30" s="46" t="str">
        <f t="shared" si="0"/>
        <v>28 Banking</v>
      </c>
      <c r="AB30" s="46">
        <f t="shared" si="0"/>
        <v>9230.9509999999991</v>
      </c>
      <c r="AC30" s="46">
        <v>125252.45299999999</v>
      </c>
      <c r="AD30" s="46">
        <v>827726.56299999997</v>
      </c>
      <c r="AE30" s="46">
        <v>962209.96699999995</v>
      </c>
      <c r="AG30" s="41" t="s">
        <v>20</v>
      </c>
      <c r="AH30" s="41">
        <v>61.273111999999998</v>
      </c>
      <c r="AI30" s="41">
        <v>61.977103</v>
      </c>
      <c r="AJ30" s="41">
        <v>61.145924000000001</v>
      </c>
      <c r="AL30" s="47" t="s">
        <v>20</v>
      </c>
      <c r="AM30" s="47">
        <v>1718.798172</v>
      </c>
      <c r="AN30" s="47">
        <v>174.086401</v>
      </c>
      <c r="AO30" s="47">
        <v>176.48165299999999</v>
      </c>
      <c r="AQ30" s="6" t="s">
        <v>20</v>
      </c>
      <c r="AR30" s="6">
        <f t="shared" si="1"/>
        <v>14887.04194489512</v>
      </c>
      <c r="AS30" s="6">
        <f t="shared" si="2"/>
        <v>167892.36804621571</v>
      </c>
      <c r="AZ30" s="7"/>
      <c r="BC30" s="35">
        <v>38.359499999999997</v>
      </c>
      <c r="BD30" s="6">
        <v>128315.65353009175</v>
      </c>
      <c r="BE30">
        <f t="shared" si="13"/>
        <v>38.359499999999997</v>
      </c>
      <c r="BF30" s="6">
        <f t="shared" ref="BF30:BF38" si="14">BD30-$BD$27</f>
        <v>-12932.001426109666</v>
      </c>
      <c r="BG30" s="6">
        <f t="shared" ref="BG30:BG38" si="15">BF30/$BD$27*100</f>
        <v>-9.1555512409177116</v>
      </c>
    </row>
    <row r="31" spans="1:63" s="6" customFormat="1" x14ac:dyDescent="0.35">
      <c r="A31" s="50" t="s">
        <v>50</v>
      </c>
      <c r="B31" s="50">
        <v>63117.402000000002</v>
      </c>
      <c r="C31" s="50">
        <v>692130.25</v>
      </c>
      <c r="D31" s="50">
        <v>2867772.25</v>
      </c>
      <c r="E31" s="50">
        <v>3623019.9019999998</v>
      </c>
      <c r="G31" s="50" t="s">
        <v>50</v>
      </c>
      <c r="H31" s="50">
        <v>68.577707000000004</v>
      </c>
      <c r="I31" s="50">
        <v>62.783904999999997</v>
      </c>
      <c r="J31" s="50">
        <v>61.703468000000001</v>
      </c>
      <c r="L31" s="51" t="s">
        <v>50</v>
      </c>
      <c r="M31" s="51">
        <v>210.952842</v>
      </c>
      <c r="N31" s="51">
        <v>191.56510299999999</v>
      </c>
      <c r="O31" s="51">
        <v>175.24279200000001</v>
      </c>
      <c r="Q31" s="6" t="s">
        <v>50</v>
      </c>
      <c r="R31" s="6">
        <f t="shared" si="4"/>
        <v>106401.86900957215</v>
      </c>
      <c r="S31" s="6">
        <f t="shared" si="5"/>
        <v>196265.35531556487</v>
      </c>
      <c r="Z31" s="7"/>
      <c r="AA31" s="46" t="str">
        <f t="shared" si="0"/>
        <v>29 RealEstate</v>
      </c>
      <c r="AB31" s="46">
        <f t="shared" si="0"/>
        <v>63117.402000000002</v>
      </c>
      <c r="AC31" s="46">
        <v>692130.25</v>
      </c>
      <c r="AD31" s="46">
        <v>2867772.25</v>
      </c>
      <c r="AE31" s="46">
        <v>3623019.9019999998</v>
      </c>
      <c r="AG31" s="41" t="s">
        <v>50</v>
      </c>
      <c r="AH31" s="41">
        <v>68.577707000000004</v>
      </c>
      <c r="AI31" s="41">
        <v>62.783904999999997</v>
      </c>
      <c r="AJ31" s="41">
        <v>61.703468000000001</v>
      </c>
      <c r="AL31" s="47" t="s">
        <v>50</v>
      </c>
      <c r="AM31" s="47">
        <v>210.939706</v>
      </c>
      <c r="AN31" s="47">
        <v>191.56519599999999</v>
      </c>
      <c r="AO31" s="47">
        <v>175.242727</v>
      </c>
      <c r="AQ31" s="6" t="s">
        <v>50</v>
      </c>
      <c r="AR31" s="6">
        <f t="shared" si="1"/>
        <v>106401.86900957215</v>
      </c>
      <c r="AS31" s="6">
        <f t="shared" si="2"/>
        <v>196257.06421363814</v>
      </c>
      <c r="AZ31" s="7"/>
      <c r="BC31" s="36">
        <v>39.966200000000001</v>
      </c>
      <c r="BD31" s="37">
        <v>141236.71402383619</v>
      </c>
      <c r="BE31" s="2">
        <f>BC31</f>
        <v>39.966200000000001</v>
      </c>
      <c r="BF31" s="37">
        <f t="shared" si="14"/>
        <v>-10.94093236522167</v>
      </c>
      <c r="BG31" s="37">
        <f t="shared" si="15"/>
        <v>-7.7459214233427621E-3</v>
      </c>
    </row>
    <row r="32" spans="1:63" s="6" customFormat="1" x14ac:dyDescent="0.35">
      <c r="A32" s="50" t="s">
        <v>51</v>
      </c>
      <c r="B32" s="50">
        <v>63764.98</v>
      </c>
      <c r="C32" s="50">
        <v>763656.06299999997</v>
      </c>
      <c r="D32" s="50">
        <v>3766895.25</v>
      </c>
      <c r="E32" s="50">
        <v>4594316.2929999996</v>
      </c>
      <c r="G32" s="50" t="s">
        <v>51</v>
      </c>
      <c r="H32" s="50">
        <v>65.990309999999994</v>
      </c>
      <c r="I32" s="50">
        <v>57.777869000000003</v>
      </c>
      <c r="J32" s="50">
        <v>58.603009999999998</v>
      </c>
      <c r="L32" s="51" t="s">
        <v>51</v>
      </c>
      <c r="M32" s="51">
        <v>193.35705799999999</v>
      </c>
      <c r="N32" s="51">
        <v>162.12006</v>
      </c>
      <c r="O32" s="51">
        <v>163.55753300000001</v>
      </c>
      <c r="Q32" s="6" t="s">
        <v>51</v>
      </c>
      <c r="R32" s="6">
        <f t="shared" si="4"/>
        <v>105843.68797343801</v>
      </c>
      <c r="S32" s="6">
        <f t="shared" si="5"/>
        <v>187059.0693622884</v>
      </c>
      <c r="Z32" s="7"/>
      <c r="AA32" s="46" t="str">
        <f t="shared" si="0"/>
        <v>30 OthServices</v>
      </c>
      <c r="AB32" s="46">
        <f t="shared" si="0"/>
        <v>63764.98</v>
      </c>
      <c r="AC32" s="46">
        <v>763656.06299999997</v>
      </c>
      <c r="AD32" s="46">
        <v>3766895.25</v>
      </c>
      <c r="AE32" s="46">
        <v>4594316.2929999996</v>
      </c>
      <c r="AG32" s="41" t="s">
        <v>51</v>
      </c>
      <c r="AH32" s="41">
        <v>65.990309999999994</v>
      </c>
      <c r="AI32" s="41">
        <v>57.777869000000003</v>
      </c>
      <c r="AJ32" s="41">
        <v>58.603009999999998</v>
      </c>
      <c r="AL32" s="47" t="s">
        <v>51</v>
      </c>
      <c r="AM32" s="47">
        <v>193.353849</v>
      </c>
      <c r="AN32" s="47">
        <v>162.12003999999999</v>
      </c>
      <c r="AO32" s="47">
        <v>163.55753100000001</v>
      </c>
      <c r="AQ32" s="6" t="s">
        <v>51</v>
      </c>
      <c r="AR32" s="6">
        <f t="shared" si="1"/>
        <v>105843.68797343801</v>
      </c>
      <c r="AS32" s="6">
        <f t="shared" si="2"/>
        <v>187057.02314408019</v>
      </c>
      <c r="AZ32" s="7"/>
      <c r="BC32" s="35">
        <v>39.700000000000003</v>
      </c>
      <c r="BD32" s="6">
        <v>141268.50458829463</v>
      </c>
      <c r="BE32">
        <f t="shared" si="13"/>
        <v>39.700000000000003</v>
      </c>
      <c r="BF32" s="6">
        <f t="shared" si="14"/>
        <v>20.849632093217224</v>
      </c>
      <c r="BG32" s="6">
        <f t="shared" si="15"/>
        <v>1.4761046545999192E-2</v>
      </c>
    </row>
    <row r="33" spans="1:59" s="6" customFormat="1" x14ac:dyDescent="0.35">
      <c r="A33" s="50" t="s">
        <v>9</v>
      </c>
      <c r="B33" s="50">
        <v>628714.54200000002</v>
      </c>
      <c r="C33" s="50">
        <v>7082487.1500000004</v>
      </c>
      <c r="D33" s="50">
        <v>27107459.397999998</v>
      </c>
      <c r="E33" s="50">
        <v>34818661.090999998</v>
      </c>
      <c r="Q33" s="6" t="s">
        <v>9</v>
      </c>
      <c r="R33" s="6">
        <f t="shared" si="4"/>
        <v>628714.54200000002</v>
      </c>
      <c r="S33" s="6">
        <f t="shared" si="5"/>
        <v>628714.54200000002</v>
      </c>
      <c r="Z33" s="7"/>
      <c r="AA33" s="46" t="str">
        <f t="shared" si="0"/>
        <v>Total</v>
      </c>
      <c r="AB33" s="46">
        <f t="shared" si="0"/>
        <v>628714.54200000002</v>
      </c>
      <c r="AC33" s="46">
        <v>7082487.1500000004</v>
      </c>
      <c r="AD33" s="46">
        <v>27107459.397999998</v>
      </c>
      <c r="AE33" s="46">
        <v>34818661.090999998</v>
      </c>
      <c r="AQ33" s="6" t="s">
        <v>9</v>
      </c>
      <c r="AR33" s="6">
        <f t="shared" si="1"/>
        <v>628714.54200000002</v>
      </c>
      <c r="AS33" s="6">
        <f t="shared" si="2"/>
        <v>628714.54200000002</v>
      </c>
      <c r="AZ33" s="7"/>
      <c r="BC33" s="35">
        <v>40</v>
      </c>
      <c r="BD33" s="6">
        <v>141519.62596396494</v>
      </c>
      <c r="BE33">
        <f t="shared" si="13"/>
        <v>40</v>
      </c>
      <c r="BF33" s="6">
        <f t="shared" si="14"/>
        <v>271.97100776352454</v>
      </c>
      <c r="BG33" s="6">
        <f t="shared" si="15"/>
        <v>0.1925490429188777</v>
      </c>
    </row>
    <row r="34" spans="1:59" x14ac:dyDescent="0.35">
      <c r="Z34" s="4"/>
      <c r="AZ34" s="4"/>
      <c r="BC34" s="35">
        <v>54.12</v>
      </c>
      <c r="BD34" s="6">
        <v>285515.84795681149</v>
      </c>
      <c r="BE34">
        <f t="shared" si="13"/>
        <v>54.12</v>
      </c>
      <c r="BF34" s="6">
        <f t="shared" si="14"/>
        <v>144268.19300061007</v>
      </c>
      <c r="BG34" s="6">
        <f t="shared" si="15"/>
        <v>102.13846951678262</v>
      </c>
    </row>
    <row r="35" spans="1:59" x14ac:dyDescent="0.35">
      <c r="BC35" s="35">
        <v>54.61</v>
      </c>
      <c r="BD35" s="6">
        <v>293629.60252701573</v>
      </c>
      <c r="BE35">
        <f t="shared" si="13"/>
        <v>54.61</v>
      </c>
      <c r="BF35" s="6">
        <f t="shared" si="14"/>
        <v>152381.94757081431</v>
      </c>
      <c r="BG35" s="6">
        <f t="shared" si="15"/>
        <v>107.88281590803435</v>
      </c>
    </row>
    <row r="36" spans="1:59" x14ac:dyDescent="0.35">
      <c r="BC36" s="35">
        <v>54.71</v>
      </c>
      <c r="BD36" s="6">
        <v>295307.85071233031</v>
      </c>
      <c r="BE36">
        <f t="shared" si="13"/>
        <v>54.71</v>
      </c>
      <c r="BF36" s="6">
        <f t="shared" si="14"/>
        <v>154060.1957561289</v>
      </c>
      <c r="BG36" s="6">
        <f t="shared" si="15"/>
        <v>109.07097594214959</v>
      </c>
    </row>
    <row r="37" spans="1:59" x14ac:dyDescent="0.35">
      <c r="BC37" s="35">
        <v>54.85</v>
      </c>
      <c r="BD37" s="6">
        <v>297670.13129019458</v>
      </c>
      <c r="BE37">
        <f>BC37</f>
        <v>54.85</v>
      </c>
      <c r="BF37" s="6">
        <f t="shared" si="14"/>
        <v>156422.47633399317</v>
      </c>
      <c r="BG37" s="6">
        <f t="shared" si="15"/>
        <v>110.74341473668869</v>
      </c>
    </row>
    <row r="38" spans="1:59" x14ac:dyDescent="0.35">
      <c r="BC38" s="35">
        <v>54.84</v>
      </c>
      <c r="BD38" s="6">
        <v>297500.72487744258</v>
      </c>
      <c r="BE38">
        <f>BC38</f>
        <v>54.84</v>
      </c>
      <c r="BF38" s="6">
        <f t="shared" si="14"/>
        <v>156253.06992124117</v>
      </c>
      <c r="BG38" s="6">
        <f t="shared" si="15"/>
        <v>110.62347900196481</v>
      </c>
    </row>
    <row r="41" spans="1:59" x14ac:dyDescent="0.35">
      <c r="BC41">
        <v>71.47</v>
      </c>
      <c r="BD41" s="6">
        <v>713173.02</v>
      </c>
      <c r="BE41">
        <v>71.47</v>
      </c>
    </row>
    <row r="42" spans="1:59" ht="18.5" x14ac:dyDescent="0.45">
      <c r="BC42">
        <v>1.2424300000000001E-4</v>
      </c>
      <c r="BD42" s="38">
        <v>22.417189405999999</v>
      </c>
    </row>
    <row r="43" spans="1:59" x14ac:dyDescent="0.35">
      <c r="BC43" s="39">
        <f>(BC42*$BD$27)+BD42</f>
        <v>39.966221800723332</v>
      </c>
    </row>
    <row r="44" spans="1:59" ht="18.5" x14ac:dyDescent="0.45">
      <c r="BC44" s="38"/>
    </row>
  </sheetData>
  <mergeCells count="1">
    <mergeCell ref="BC1:BK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perkiraan shock</vt:lpstr>
      <vt:lpstr>Manuf</vt:lpstr>
      <vt:lpstr>Banking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AK</cp:lastModifiedBy>
  <dcterms:created xsi:type="dcterms:W3CDTF">2015-06-05T18:17:20Z</dcterms:created>
  <dcterms:modified xsi:type="dcterms:W3CDTF">2025-11-05T17:41:54Z</dcterms:modified>
</cp:coreProperties>
</file>