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WORK\BI\makasar2020\"/>
    </mc:Choice>
  </mc:AlternateContent>
  <bookViews>
    <workbookView xWindow="0" yWindow="0" windowWidth="15360" windowHeight="8020"/>
  </bookViews>
  <sheets>
    <sheet name="Keterangan dan Instruksi" sheetId="2" r:id="rId1"/>
    <sheet name="Diagram" sheetId="1" r:id="rId2"/>
  </sheets>
  <definedNames>
    <definedName name="alpha0">Diagram!$G$1</definedName>
    <definedName name="alpha1">Diagram!$G$2</definedName>
    <definedName name="ap1p20">Diagram!$AB$4</definedName>
    <definedName name="ap1p21">Diagram!$AB$5</definedName>
    <definedName name="beta0">Diagram!$I$1</definedName>
    <definedName name="beta1">Diagram!$I$2</definedName>
    <definedName name="gamma0">Diagram!$N$1</definedName>
    <definedName name="gamma1">Diagram!$N$2</definedName>
    <definedName name="interc0">Diagram!$I$5</definedName>
    <definedName name="interc1">Diagram!$U$5</definedName>
    <definedName name="K1e0">Diagram!$C$4</definedName>
    <definedName name="K1e1">Diagram!$O$4</definedName>
    <definedName name="K2e0">Diagram!$C$5</definedName>
    <definedName name="K2e1">Diagram!$O$5</definedName>
    <definedName name="L1e0">Diagram!$E$4</definedName>
    <definedName name="L1e1">Diagram!$Q$4</definedName>
    <definedName name="L2e0">Diagram!$E$5</definedName>
    <definedName name="L2e1">Diagram!$Q$5</definedName>
    <definedName name="mrs0">Diagram!$Z$4</definedName>
    <definedName name="mrsc0">Diagram!$Z$4</definedName>
    <definedName name="mrsc1">Diagram!$Z$5</definedName>
    <definedName name="mrt0">Diagram!$I$4</definedName>
    <definedName name="mrts1">Diagram!$U$4</definedName>
    <definedName name="SCapital0">Diagram!$C$1</definedName>
    <definedName name="SCapital1">Diagram!$C$2</definedName>
    <definedName name="SLab0">Diagram!$E$1</definedName>
    <definedName name="SLab1">Diagram!$E$2</definedName>
    <definedName name="TechA0">Diagram!$P$1</definedName>
    <definedName name="TechA1">Diagram!$P$2</definedName>
    <definedName name="TechB0">Diagram!$R$1</definedName>
    <definedName name="TechB1">Diagram!$R$2</definedName>
    <definedName name="util0">Diagram!$W$4</definedName>
    <definedName name="util1">Diagram!$W$5</definedName>
    <definedName name="X1e0">Diagram!$G$4</definedName>
    <definedName name="X1e1">Diagram!$S$4</definedName>
    <definedName name="X2e0">Diagram!$G$5</definedName>
    <definedName name="X2e1">Diagram!$S$5</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S6" i="1" l="1"/>
  <c r="G2" i="1" s="1"/>
  <c r="R1" i="1"/>
  <c r="P1" i="1"/>
  <c r="N1" i="1"/>
  <c r="E2" i="1"/>
  <c r="E1" i="1"/>
  <c r="C2" i="1"/>
  <c r="C1" i="1"/>
  <c r="AU6" i="1"/>
  <c r="N2" i="1" s="1"/>
  <c r="AT6" i="1"/>
  <c r="I2" i="1" s="1"/>
  <c r="AR6" i="1"/>
  <c r="R2" i="1" s="1"/>
  <c r="AQ6" i="1"/>
  <c r="P2" i="1" s="1"/>
  <c r="AS5" i="1" l="1"/>
  <c r="G1" i="1" s="1"/>
  <c r="AT5" i="1"/>
  <c r="I1" i="1" s="1"/>
  <c r="K17" i="1"/>
  <c r="K18" i="1" s="1"/>
  <c r="K14" i="1"/>
  <c r="K15" i="1" s="1"/>
  <c r="J11" i="1"/>
  <c r="J12" i="1" s="1"/>
  <c r="J8" i="1"/>
  <c r="J9" i="1" s="1"/>
  <c r="C8" i="1"/>
  <c r="C9" i="1"/>
  <c r="C11" i="1"/>
  <c r="P11" i="1" s="1"/>
  <c r="C12" i="1"/>
  <c r="C13" i="1"/>
  <c r="C14" i="1"/>
  <c r="C15" i="1"/>
  <c r="C16" i="1"/>
  <c r="C17" i="1"/>
  <c r="C18" i="1"/>
  <c r="C19" i="1"/>
  <c r="C20" i="1"/>
  <c r="P20" i="1" s="1"/>
  <c r="C21" i="1"/>
  <c r="P21" i="1" s="1"/>
  <c r="C22" i="1"/>
  <c r="P22" i="1" s="1"/>
  <c r="C23" i="1"/>
  <c r="C24" i="1"/>
  <c r="C25" i="1"/>
  <c r="C26" i="1"/>
  <c r="C27" i="1"/>
  <c r="P27" i="1" s="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A10" i="1"/>
  <c r="C10" i="1" s="1"/>
  <c r="B9" i="1" l="1"/>
  <c r="N9" i="1" s="1"/>
  <c r="B11" i="1"/>
  <c r="N11" i="1" s="1"/>
  <c r="B8" i="1"/>
  <c r="N8" i="1" s="1"/>
  <c r="P9" i="1"/>
  <c r="P8" i="1"/>
  <c r="P10" i="1"/>
  <c r="B10" i="1"/>
  <c r="M10" i="1" s="1"/>
  <c r="P12" i="1"/>
  <c r="B12" i="1"/>
  <c r="O8" i="1"/>
  <c r="O10" i="1"/>
  <c r="M9" i="1" l="1"/>
  <c r="N12" i="1"/>
  <c r="N10" i="1"/>
  <c r="O12" i="1"/>
  <c r="P13" i="1"/>
  <c r="B13" i="1"/>
  <c r="M11" i="1"/>
  <c r="M12" i="1"/>
  <c r="M8" i="1"/>
  <c r="O9" i="1"/>
  <c r="O11" i="1"/>
  <c r="Q4" i="1"/>
  <c r="Q5" i="1" s="1"/>
  <c r="O4" i="1"/>
  <c r="E4" i="1"/>
  <c r="E5" i="1" s="1"/>
  <c r="C4" i="1"/>
  <c r="O13" i="1" l="1"/>
  <c r="N13" i="1"/>
  <c r="M13" i="1"/>
  <c r="B14" i="1"/>
  <c r="S4" i="1"/>
  <c r="U12" i="1" s="1"/>
  <c r="U4" i="1"/>
  <c r="U5" i="1" s="1"/>
  <c r="G4" i="1"/>
  <c r="C5" i="1"/>
  <c r="G5" i="1" s="1"/>
  <c r="O5" i="1"/>
  <c r="S5" i="1" s="1"/>
  <c r="I4" i="1"/>
  <c r="I5" i="1" s="1"/>
  <c r="E14" i="1" l="1"/>
  <c r="V9" i="1"/>
  <c r="Z4" i="1"/>
  <c r="AB4" i="1" s="1"/>
  <c r="D9" i="1"/>
  <c r="U9" i="1"/>
  <c r="Z5" i="1"/>
  <c r="AB5" i="1" s="1"/>
  <c r="V12" i="1"/>
  <c r="E9" i="1"/>
  <c r="E10" i="1"/>
  <c r="E12" i="1"/>
  <c r="E11" i="1"/>
  <c r="E13" i="1"/>
  <c r="E15" i="1"/>
  <c r="B15" i="1"/>
  <c r="N14" i="1"/>
  <c r="M14" i="1"/>
  <c r="P14" i="1"/>
  <c r="O14" i="1"/>
  <c r="W4" i="1"/>
  <c r="W5" i="1"/>
  <c r="D13" i="1"/>
  <c r="D10" i="1"/>
  <c r="D15" i="1"/>
  <c r="D11" i="1"/>
  <c r="D12" i="1"/>
  <c r="D14" i="1"/>
  <c r="H11" i="1"/>
  <c r="H15" i="1"/>
  <c r="H10" i="1"/>
  <c r="H9" i="1"/>
  <c r="H12" i="1"/>
  <c r="H13" i="1"/>
  <c r="H14" i="1"/>
  <c r="H8" i="1"/>
  <c r="I12" i="1"/>
  <c r="I16" i="1"/>
  <c r="I9" i="1"/>
  <c r="I13" i="1"/>
  <c r="I10" i="1"/>
  <c r="I14" i="1"/>
  <c r="I15" i="1"/>
  <c r="I8" i="1"/>
  <c r="I11" i="1"/>
  <c r="G10" i="1"/>
  <c r="G12" i="1"/>
  <c r="G14" i="1"/>
  <c r="G11" i="1"/>
  <c r="G15" i="1"/>
  <c r="G9" i="1"/>
  <c r="G13" i="1"/>
  <c r="F11" i="1"/>
  <c r="F13" i="1"/>
  <c r="F15" i="1"/>
  <c r="F12" i="1"/>
  <c r="F9" i="1"/>
  <c r="F10" i="1"/>
  <c r="F14" i="1"/>
  <c r="U11" i="1" l="1"/>
  <c r="V10" i="1"/>
  <c r="V13" i="1"/>
  <c r="U14" i="1"/>
  <c r="B16" i="1"/>
  <c r="E16" i="1"/>
  <c r="D16" i="1"/>
  <c r="G16" i="1"/>
  <c r="H16" i="1"/>
  <c r="F16" i="1"/>
  <c r="P15" i="1"/>
  <c r="O15" i="1"/>
  <c r="N15" i="1"/>
  <c r="M15" i="1"/>
  <c r="Q10" i="1"/>
  <c r="Q14" i="1"/>
  <c r="Q11" i="1"/>
  <c r="Q9" i="1"/>
  <c r="Q12" i="1"/>
  <c r="Q13" i="1"/>
  <c r="R10" i="1"/>
  <c r="R14" i="1"/>
  <c r="R11" i="1"/>
  <c r="R9" i="1"/>
  <c r="R12" i="1"/>
  <c r="R13" i="1"/>
  <c r="Q15" i="1" l="1"/>
  <c r="R15" i="1"/>
  <c r="N16" i="1"/>
  <c r="M16" i="1"/>
  <c r="P16" i="1"/>
  <c r="O16" i="1"/>
  <c r="E17" i="1"/>
  <c r="B17" i="1"/>
  <c r="H17" i="1"/>
  <c r="F17" i="1"/>
  <c r="G17" i="1"/>
  <c r="D17" i="1"/>
  <c r="I17" i="1"/>
  <c r="Q16" i="1" l="1"/>
  <c r="R16" i="1"/>
  <c r="N17" i="1"/>
  <c r="M17" i="1"/>
  <c r="B18" i="1"/>
  <c r="E18" i="1"/>
  <c r="D18" i="1"/>
  <c r="H18" i="1"/>
  <c r="G18" i="1"/>
  <c r="I18" i="1"/>
  <c r="F18" i="1"/>
  <c r="P17" i="1"/>
  <c r="O17" i="1"/>
  <c r="Q17" i="1" l="1"/>
  <c r="R17" i="1"/>
  <c r="N18" i="1"/>
  <c r="M18" i="1"/>
  <c r="Q18" i="1" s="1"/>
  <c r="E19" i="1"/>
  <c r="B19" i="1"/>
  <c r="D19" i="1"/>
  <c r="G19" i="1"/>
  <c r="H19" i="1"/>
  <c r="I19" i="1"/>
  <c r="F19" i="1"/>
  <c r="P18" i="1"/>
  <c r="O18" i="1"/>
  <c r="R18" i="1" l="1"/>
  <c r="P19" i="1"/>
  <c r="O19" i="1"/>
  <c r="B20" i="1"/>
  <c r="E20" i="1"/>
  <c r="I20" i="1"/>
  <c r="G20" i="1"/>
  <c r="H20" i="1"/>
  <c r="D20" i="1"/>
  <c r="F20" i="1"/>
  <c r="N19" i="1"/>
  <c r="M19" i="1"/>
  <c r="Q19" i="1" l="1"/>
  <c r="R19" i="1"/>
  <c r="O20" i="1"/>
  <c r="E21" i="1"/>
  <c r="B21" i="1"/>
  <c r="D21" i="1"/>
  <c r="G21" i="1"/>
  <c r="F21" i="1"/>
  <c r="I21" i="1"/>
  <c r="H21" i="1"/>
  <c r="N20" i="1"/>
  <c r="M20" i="1"/>
  <c r="Q20" i="1" l="1"/>
  <c r="R20" i="1"/>
  <c r="O21" i="1"/>
  <c r="N21" i="1"/>
  <c r="M21" i="1"/>
  <c r="E22" i="1"/>
  <c r="B22" i="1"/>
  <c r="I22" i="1"/>
  <c r="D22" i="1"/>
  <c r="H22" i="1"/>
  <c r="G22" i="1"/>
  <c r="F22" i="1"/>
  <c r="Q21" i="1" l="1"/>
  <c r="R21" i="1"/>
  <c r="O22" i="1"/>
  <c r="N22" i="1"/>
  <c r="M22" i="1"/>
  <c r="E23" i="1"/>
  <c r="B23" i="1"/>
  <c r="I23" i="1"/>
  <c r="H23" i="1"/>
  <c r="F23" i="1"/>
  <c r="D23" i="1"/>
  <c r="G23" i="1"/>
  <c r="Q22" i="1" l="1"/>
  <c r="R22" i="1"/>
  <c r="B24" i="1"/>
  <c r="E24" i="1"/>
  <c r="G24" i="1"/>
  <c r="F24" i="1"/>
  <c r="H24" i="1"/>
  <c r="I24" i="1"/>
  <c r="D24" i="1"/>
  <c r="P23" i="1"/>
  <c r="O23" i="1"/>
  <c r="N23" i="1"/>
  <c r="M23" i="1"/>
  <c r="Q23" i="1" l="1"/>
  <c r="R23" i="1"/>
  <c r="N24" i="1"/>
  <c r="M24" i="1"/>
  <c r="P24" i="1"/>
  <c r="O24" i="1"/>
  <c r="E25" i="1"/>
  <c r="B25" i="1"/>
  <c r="F25" i="1"/>
  <c r="D25" i="1"/>
  <c r="I25" i="1"/>
  <c r="H25" i="1"/>
  <c r="G25" i="1"/>
  <c r="Q24" i="1" l="1"/>
  <c r="R24" i="1"/>
  <c r="N25" i="1"/>
  <c r="M25" i="1"/>
  <c r="B26" i="1"/>
  <c r="E26" i="1"/>
  <c r="H26" i="1"/>
  <c r="D26" i="1"/>
  <c r="I26" i="1"/>
  <c r="F26" i="1"/>
  <c r="G26" i="1"/>
  <c r="P25" i="1"/>
  <c r="O25" i="1"/>
  <c r="Q25" i="1" l="1"/>
  <c r="R25" i="1"/>
  <c r="N26" i="1"/>
  <c r="M26" i="1"/>
  <c r="E27" i="1"/>
  <c r="B27" i="1"/>
  <c r="G27" i="1"/>
  <c r="D27" i="1"/>
  <c r="H27" i="1"/>
  <c r="F27" i="1"/>
  <c r="I27" i="1"/>
  <c r="P26" i="1"/>
  <c r="O26" i="1"/>
  <c r="Q26" i="1" l="1"/>
  <c r="R26" i="1"/>
  <c r="O27" i="1"/>
  <c r="N27" i="1"/>
  <c r="M27" i="1"/>
  <c r="B28" i="1"/>
  <c r="E28" i="1"/>
  <c r="H28" i="1"/>
  <c r="D28" i="1"/>
  <c r="I28" i="1"/>
  <c r="G28" i="1"/>
  <c r="F28" i="1"/>
  <c r="Q27" i="1" l="1"/>
  <c r="R27" i="1"/>
  <c r="N28" i="1"/>
  <c r="M28" i="1"/>
  <c r="P28" i="1"/>
  <c r="O28" i="1"/>
  <c r="E29" i="1"/>
  <c r="B29" i="1"/>
  <c r="I29" i="1"/>
  <c r="F29" i="1"/>
  <c r="D29" i="1"/>
  <c r="H29" i="1"/>
  <c r="G29" i="1"/>
  <c r="Q28" i="1" l="1"/>
  <c r="R28" i="1"/>
  <c r="E30" i="1"/>
  <c r="B30" i="1"/>
  <c r="H30" i="1"/>
  <c r="D30" i="1"/>
  <c r="I30" i="1"/>
  <c r="G30" i="1"/>
  <c r="F30" i="1"/>
  <c r="N29" i="1"/>
  <c r="M29" i="1"/>
  <c r="P29" i="1"/>
  <c r="O29" i="1"/>
  <c r="Q29" i="1" l="1"/>
  <c r="R29" i="1"/>
  <c r="N30" i="1"/>
  <c r="M30" i="1"/>
  <c r="P30" i="1"/>
  <c r="O30" i="1"/>
  <c r="E31" i="1"/>
  <c r="B31" i="1"/>
  <c r="H31" i="1"/>
  <c r="G31" i="1"/>
  <c r="D31" i="1"/>
  <c r="I31" i="1"/>
  <c r="F31" i="1"/>
  <c r="Q30" i="1" l="1"/>
  <c r="R30" i="1"/>
  <c r="N31" i="1"/>
  <c r="M31" i="1"/>
  <c r="B32" i="1"/>
  <c r="E32" i="1"/>
  <c r="G32" i="1"/>
  <c r="I32" i="1"/>
  <c r="D32" i="1"/>
  <c r="H32" i="1"/>
  <c r="F32" i="1"/>
  <c r="P31" i="1"/>
  <c r="O31" i="1"/>
  <c r="Q31" i="1" l="1"/>
  <c r="R31" i="1"/>
  <c r="P32" i="1"/>
  <c r="O32" i="1"/>
  <c r="E33" i="1"/>
  <c r="B33" i="1"/>
  <c r="H33" i="1"/>
  <c r="G33" i="1"/>
  <c r="D33" i="1"/>
  <c r="I33" i="1"/>
  <c r="F33" i="1"/>
  <c r="N32" i="1"/>
  <c r="M32" i="1"/>
  <c r="Q32" i="1" l="1"/>
  <c r="R32" i="1"/>
  <c r="P33" i="1"/>
  <c r="O33" i="1"/>
  <c r="N33" i="1"/>
  <c r="M33" i="1"/>
  <c r="B34" i="1"/>
  <c r="E34" i="1"/>
  <c r="F34" i="1"/>
  <c r="D34" i="1"/>
  <c r="H34" i="1"/>
  <c r="I34" i="1"/>
  <c r="G34" i="1"/>
  <c r="Q33" i="1" l="1"/>
  <c r="R33" i="1"/>
  <c r="P34" i="1"/>
  <c r="O34" i="1"/>
  <c r="N34" i="1"/>
  <c r="M34" i="1"/>
  <c r="E35" i="1"/>
  <c r="B35" i="1"/>
  <c r="I35" i="1"/>
  <c r="F35" i="1"/>
  <c r="G35" i="1"/>
  <c r="D35" i="1"/>
  <c r="H35" i="1"/>
  <c r="Q34" i="1" l="1"/>
  <c r="R34" i="1"/>
  <c r="N35" i="1"/>
  <c r="M35" i="1"/>
  <c r="B36" i="1"/>
  <c r="E36" i="1"/>
  <c r="D36" i="1"/>
  <c r="I36" i="1"/>
  <c r="G36" i="1"/>
  <c r="F36" i="1"/>
  <c r="H36" i="1"/>
  <c r="P35" i="1"/>
  <c r="O35" i="1"/>
  <c r="Q35" i="1" l="1"/>
  <c r="R35" i="1"/>
  <c r="P36" i="1"/>
  <c r="O36" i="1"/>
  <c r="E37" i="1"/>
  <c r="B37" i="1"/>
  <c r="D37" i="1"/>
  <c r="H37" i="1"/>
  <c r="I37" i="1"/>
  <c r="G37" i="1"/>
  <c r="F37" i="1"/>
  <c r="N36" i="1"/>
  <c r="M36" i="1"/>
  <c r="Q36" i="1" l="1"/>
  <c r="R36" i="1"/>
  <c r="P37" i="1"/>
  <c r="O37" i="1"/>
  <c r="N37" i="1"/>
  <c r="M37" i="1"/>
  <c r="E38" i="1"/>
  <c r="B38" i="1"/>
  <c r="D38" i="1"/>
  <c r="I38" i="1"/>
  <c r="H38" i="1"/>
  <c r="G38" i="1"/>
  <c r="F38" i="1"/>
  <c r="Q37" i="1" l="1"/>
  <c r="R37" i="1"/>
  <c r="N38" i="1"/>
  <c r="M38" i="1"/>
  <c r="P38" i="1"/>
  <c r="O38" i="1"/>
  <c r="E39" i="1"/>
  <c r="B39" i="1"/>
  <c r="D39" i="1"/>
  <c r="H39" i="1"/>
  <c r="I39" i="1"/>
  <c r="G39" i="1"/>
  <c r="F39" i="1"/>
  <c r="Q38" i="1" l="1"/>
  <c r="R38" i="1"/>
  <c r="N39" i="1"/>
  <c r="M39" i="1"/>
  <c r="B40" i="1"/>
  <c r="E40" i="1"/>
  <c r="D40" i="1"/>
  <c r="G40" i="1"/>
  <c r="H40" i="1"/>
  <c r="I40" i="1"/>
  <c r="F40" i="1"/>
  <c r="P39" i="1"/>
  <c r="O39" i="1"/>
  <c r="Q39" i="1" l="1"/>
  <c r="R39" i="1"/>
  <c r="P40" i="1"/>
  <c r="O40" i="1"/>
  <c r="E41" i="1"/>
  <c r="B41" i="1"/>
  <c r="H41" i="1"/>
  <c r="G41" i="1"/>
  <c r="D41" i="1"/>
  <c r="I41" i="1"/>
  <c r="F41" i="1"/>
  <c r="N40" i="1"/>
  <c r="M40" i="1"/>
  <c r="Q40" i="1" l="1"/>
  <c r="R40" i="1"/>
  <c r="P41" i="1"/>
  <c r="O41" i="1"/>
  <c r="N41" i="1"/>
  <c r="M41" i="1"/>
  <c r="B42" i="1"/>
  <c r="E42" i="1"/>
  <c r="F42" i="1"/>
  <c r="D42" i="1"/>
  <c r="I42" i="1"/>
  <c r="H42" i="1"/>
  <c r="G42" i="1"/>
  <c r="Q41" i="1" l="1"/>
  <c r="R41" i="1"/>
  <c r="P42" i="1"/>
  <c r="O42" i="1"/>
  <c r="N42" i="1"/>
  <c r="M42" i="1"/>
  <c r="E43" i="1"/>
  <c r="B43" i="1"/>
  <c r="G43" i="1"/>
  <c r="I43" i="1"/>
  <c r="F43" i="1"/>
  <c r="D43" i="1"/>
  <c r="H43" i="1"/>
  <c r="Q42" i="1" l="1"/>
  <c r="R42" i="1"/>
  <c r="N43" i="1"/>
  <c r="M43" i="1"/>
  <c r="B44" i="1"/>
  <c r="E44" i="1"/>
  <c r="H44" i="1"/>
  <c r="F44" i="1"/>
  <c r="I44" i="1"/>
  <c r="G44" i="1"/>
  <c r="D44" i="1"/>
  <c r="P43" i="1"/>
  <c r="O43" i="1"/>
  <c r="Q43" i="1" l="1"/>
  <c r="R43" i="1"/>
  <c r="P44" i="1"/>
  <c r="O44" i="1"/>
  <c r="E45" i="1"/>
  <c r="B45" i="1"/>
  <c r="I45" i="1"/>
  <c r="G45" i="1"/>
  <c r="D45" i="1"/>
  <c r="H45" i="1"/>
  <c r="F45" i="1"/>
  <c r="N44" i="1"/>
  <c r="M44" i="1"/>
  <c r="Q44" i="1" l="1"/>
  <c r="R44" i="1"/>
  <c r="P45" i="1"/>
  <c r="O45" i="1"/>
  <c r="N45" i="1"/>
  <c r="M45" i="1"/>
  <c r="E46" i="1"/>
  <c r="B46" i="1"/>
  <c r="H46" i="1"/>
  <c r="I46" i="1"/>
  <c r="G46" i="1"/>
  <c r="F46" i="1"/>
  <c r="D46" i="1"/>
  <c r="Q45" i="1" l="1"/>
  <c r="R45" i="1"/>
  <c r="N46" i="1"/>
  <c r="M46" i="1"/>
  <c r="P46" i="1"/>
  <c r="O46" i="1"/>
  <c r="E47" i="1"/>
  <c r="B47" i="1"/>
  <c r="H47" i="1"/>
  <c r="G47" i="1"/>
  <c r="D47" i="1"/>
  <c r="F47" i="1"/>
  <c r="I47" i="1"/>
  <c r="Q46" i="1" l="1"/>
  <c r="R46" i="1"/>
  <c r="N47" i="1"/>
  <c r="M47" i="1"/>
  <c r="P47" i="1"/>
  <c r="O47" i="1"/>
  <c r="B48" i="1"/>
  <c r="E48" i="1"/>
  <c r="H48" i="1"/>
  <c r="G48" i="1"/>
  <c r="D48" i="1"/>
  <c r="F48" i="1"/>
  <c r="I48" i="1"/>
  <c r="Q47" i="1" l="1"/>
  <c r="R47" i="1"/>
  <c r="P48" i="1"/>
  <c r="O48" i="1"/>
  <c r="N48" i="1"/>
  <c r="M48" i="1"/>
  <c r="E49" i="1"/>
  <c r="B49" i="1"/>
  <c r="G49" i="1"/>
  <c r="H49" i="1"/>
  <c r="F49" i="1"/>
  <c r="D49" i="1"/>
  <c r="I49" i="1"/>
  <c r="Q48" i="1" l="1"/>
  <c r="R48" i="1"/>
  <c r="P49" i="1"/>
  <c r="O49" i="1"/>
  <c r="N49" i="1"/>
  <c r="M49" i="1"/>
  <c r="B50" i="1"/>
  <c r="E50" i="1"/>
  <c r="D50" i="1"/>
  <c r="I50" i="1"/>
  <c r="F50" i="1"/>
  <c r="H50" i="1"/>
  <c r="G50" i="1"/>
  <c r="Q49" i="1" l="1"/>
  <c r="R49" i="1"/>
  <c r="N50" i="1"/>
  <c r="M50" i="1"/>
  <c r="P50" i="1"/>
  <c r="O50" i="1"/>
  <c r="E51" i="1"/>
  <c r="B51" i="1"/>
  <c r="F51" i="1"/>
  <c r="D51" i="1"/>
  <c r="H51" i="1"/>
  <c r="G51" i="1"/>
  <c r="I51" i="1"/>
  <c r="Q50" i="1" l="1"/>
  <c r="R50" i="1"/>
  <c r="N51" i="1"/>
  <c r="M51" i="1"/>
  <c r="P51" i="1"/>
  <c r="O51" i="1"/>
  <c r="B52" i="1"/>
  <c r="E52" i="1"/>
  <c r="I52" i="1"/>
  <c r="G52" i="1"/>
  <c r="F52" i="1"/>
  <c r="H52" i="1"/>
  <c r="D52" i="1"/>
  <c r="Q51" i="1" l="1"/>
  <c r="R51" i="1"/>
  <c r="N52" i="1"/>
  <c r="M52" i="1"/>
  <c r="P52" i="1"/>
  <c r="O52" i="1"/>
  <c r="E53" i="1"/>
  <c r="B53" i="1"/>
  <c r="D53" i="1"/>
  <c r="I53" i="1"/>
  <c r="G53" i="1"/>
  <c r="H53" i="1"/>
  <c r="F53" i="1"/>
  <c r="Q52" i="1" l="1"/>
  <c r="R52" i="1"/>
  <c r="N53" i="1"/>
  <c r="M53" i="1"/>
  <c r="E54" i="1"/>
  <c r="B54" i="1"/>
  <c r="H54" i="1"/>
  <c r="D54" i="1"/>
  <c r="I54" i="1"/>
  <c r="G54" i="1"/>
  <c r="F54" i="1"/>
  <c r="P53" i="1"/>
  <c r="O53" i="1"/>
  <c r="Q53" i="1" l="1"/>
  <c r="R53" i="1"/>
  <c r="E55" i="1"/>
  <c r="B55" i="1"/>
  <c r="H55" i="1"/>
  <c r="I55" i="1"/>
  <c r="F55" i="1"/>
  <c r="D55" i="1"/>
  <c r="G55" i="1"/>
  <c r="P54" i="1"/>
  <c r="O54" i="1"/>
  <c r="N54" i="1"/>
  <c r="M54" i="1"/>
  <c r="Q54" i="1" l="1"/>
  <c r="R54" i="1"/>
  <c r="N55" i="1"/>
  <c r="M55" i="1"/>
  <c r="B56" i="1"/>
  <c r="E56" i="1"/>
  <c r="G56" i="1"/>
  <c r="H56" i="1"/>
  <c r="D56" i="1"/>
  <c r="I56" i="1"/>
  <c r="F56" i="1"/>
  <c r="P55" i="1"/>
  <c r="O55" i="1"/>
  <c r="Q55" i="1" l="1"/>
  <c r="R55" i="1"/>
  <c r="N56" i="1"/>
  <c r="M56" i="1"/>
  <c r="E57" i="1"/>
  <c r="B57" i="1"/>
  <c r="H57" i="1"/>
  <c r="G57" i="1"/>
  <c r="D57" i="1"/>
  <c r="I57" i="1"/>
  <c r="F57" i="1"/>
  <c r="P56" i="1"/>
  <c r="O56" i="1"/>
  <c r="Q56" i="1" l="1"/>
  <c r="R56" i="1"/>
  <c r="P57" i="1"/>
  <c r="O57" i="1"/>
  <c r="N57" i="1"/>
  <c r="M57" i="1"/>
  <c r="B58" i="1"/>
  <c r="E58" i="1"/>
  <c r="D58" i="1"/>
  <c r="F58" i="1"/>
  <c r="H58" i="1"/>
  <c r="I58" i="1"/>
  <c r="G58" i="1"/>
  <c r="Q57" i="1" l="1"/>
  <c r="R57" i="1"/>
  <c r="P58" i="1"/>
  <c r="O58" i="1"/>
  <c r="N58" i="1"/>
  <c r="M58" i="1"/>
  <c r="E59" i="1"/>
  <c r="B59" i="1"/>
  <c r="D59" i="1"/>
  <c r="I59" i="1"/>
  <c r="F59" i="1"/>
  <c r="G59" i="1"/>
  <c r="H59" i="1"/>
  <c r="Q58" i="1" l="1"/>
  <c r="R58" i="1"/>
  <c r="N59" i="1"/>
  <c r="M59" i="1"/>
  <c r="B60" i="1"/>
  <c r="E60" i="1"/>
  <c r="D60" i="1"/>
  <c r="F60" i="1"/>
  <c r="I60" i="1"/>
  <c r="G60" i="1"/>
  <c r="H60" i="1"/>
  <c r="P59" i="1"/>
  <c r="O59" i="1"/>
  <c r="Q59" i="1" l="1"/>
  <c r="R59" i="1"/>
  <c r="P60" i="1"/>
  <c r="O60" i="1"/>
  <c r="E61" i="1"/>
  <c r="B61" i="1"/>
  <c r="I61" i="1"/>
  <c r="D61" i="1"/>
  <c r="G61" i="1"/>
  <c r="F61" i="1"/>
  <c r="H61" i="1"/>
  <c r="N60" i="1"/>
  <c r="M60" i="1"/>
  <c r="Q60" i="1" l="1"/>
  <c r="R60" i="1"/>
  <c r="P61" i="1"/>
  <c r="O61" i="1"/>
  <c r="N61" i="1"/>
  <c r="M61" i="1"/>
  <c r="E62" i="1"/>
  <c r="B62" i="1"/>
  <c r="D62" i="1"/>
  <c r="I62" i="1"/>
  <c r="G62" i="1"/>
  <c r="F62" i="1"/>
  <c r="H62" i="1"/>
  <c r="Q61" i="1" l="1"/>
  <c r="R61" i="1"/>
  <c r="N62" i="1"/>
  <c r="M62" i="1"/>
  <c r="P62" i="1"/>
  <c r="O62" i="1"/>
  <c r="E63" i="1"/>
  <c r="B63" i="1"/>
  <c r="G63" i="1"/>
  <c r="H63" i="1"/>
  <c r="I63" i="1"/>
  <c r="F63" i="1"/>
  <c r="D63" i="1"/>
  <c r="Q62" i="1" l="1"/>
  <c r="R62" i="1"/>
  <c r="N63" i="1"/>
  <c r="M63" i="1"/>
  <c r="B64" i="1"/>
  <c r="E64" i="1"/>
  <c r="H64" i="1"/>
  <c r="G64" i="1"/>
  <c r="D64" i="1"/>
  <c r="I64" i="1"/>
  <c r="F64" i="1"/>
  <c r="P63" i="1"/>
  <c r="O63" i="1"/>
  <c r="Q63" i="1" l="1"/>
  <c r="R63" i="1"/>
  <c r="N64" i="1"/>
  <c r="M64" i="1"/>
  <c r="E65" i="1"/>
  <c r="B65" i="1"/>
  <c r="H65" i="1"/>
  <c r="F65" i="1"/>
  <c r="D65" i="1"/>
  <c r="I65" i="1"/>
  <c r="G65" i="1"/>
  <c r="P64" i="1"/>
  <c r="O64" i="1"/>
  <c r="Q64" i="1" l="1"/>
  <c r="R64" i="1"/>
  <c r="B66" i="1"/>
  <c r="E66" i="1"/>
  <c r="H66" i="1"/>
  <c r="I66" i="1"/>
  <c r="F66" i="1"/>
  <c r="G66" i="1"/>
  <c r="D66" i="1"/>
  <c r="N65" i="1"/>
  <c r="M65" i="1"/>
  <c r="P65" i="1"/>
  <c r="O65" i="1"/>
  <c r="Q65" i="1" l="1"/>
  <c r="R65" i="1"/>
  <c r="P66" i="1"/>
  <c r="O66" i="1"/>
  <c r="N66" i="1"/>
  <c r="M66" i="1"/>
  <c r="E67" i="1"/>
  <c r="B67" i="1"/>
  <c r="G67" i="1"/>
  <c r="F67" i="1"/>
  <c r="H67" i="1"/>
  <c r="I67" i="1"/>
  <c r="D67" i="1"/>
  <c r="Q66" i="1" l="1"/>
  <c r="R66" i="1"/>
  <c r="N67" i="1"/>
  <c r="M67" i="1"/>
  <c r="B68" i="1"/>
  <c r="E68" i="1"/>
  <c r="I68" i="1"/>
  <c r="D68" i="1"/>
  <c r="G68" i="1"/>
  <c r="F68" i="1"/>
  <c r="H68" i="1"/>
  <c r="P67" i="1"/>
  <c r="O67" i="1"/>
  <c r="Q67" i="1" l="1"/>
  <c r="R67" i="1"/>
  <c r="E69" i="1"/>
  <c r="B69" i="1"/>
  <c r="D69" i="1"/>
  <c r="H69" i="1"/>
  <c r="I69" i="1"/>
  <c r="G69" i="1"/>
  <c r="F69" i="1"/>
  <c r="N68" i="1"/>
  <c r="M68" i="1"/>
  <c r="P68" i="1"/>
  <c r="O68" i="1"/>
  <c r="Q68" i="1" l="1"/>
  <c r="R68" i="1"/>
  <c r="N69" i="1"/>
  <c r="M69" i="1"/>
  <c r="E70" i="1"/>
  <c r="B70" i="1"/>
  <c r="D70" i="1"/>
  <c r="H70" i="1"/>
  <c r="I70" i="1"/>
  <c r="G70" i="1"/>
  <c r="F70" i="1"/>
  <c r="P69" i="1"/>
  <c r="O69" i="1"/>
  <c r="Q69" i="1" l="1"/>
  <c r="R69" i="1"/>
  <c r="E71" i="1"/>
  <c r="B71" i="1"/>
  <c r="I71" i="1"/>
  <c r="D71" i="1"/>
  <c r="H71" i="1"/>
  <c r="G71" i="1"/>
  <c r="F71" i="1"/>
  <c r="P70" i="1"/>
  <c r="O70" i="1"/>
  <c r="N70" i="1"/>
  <c r="M70" i="1"/>
  <c r="Q70" i="1" l="1"/>
  <c r="R70" i="1"/>
  <c r="N71" i="1"/>
  <c r="M71" i="1"/>
  <c r="B72" i="1"/>
  <c r="E72" i="1"/>
  <c r="G72" i="1"/>
  <c r="D72" i="1"/>
  <c r="H72" i="1"/>
  <c r="I72" i="1"/>
  <c r="F72" i="1"/>
  <c r="P71" i="1"/>
  <c r="O71" i="1"/>
  <c r="Q71" i="1" l="1"/>
  <c r="R71" i="1"/>
  <c r="E73" i="1"/>
  <c r="B73" i="1"/>
  <c r="G73" i="1"/>
  <c r="H73" i="1"/>
  <c r="D73" i="1"/>
  <c r="I73" i="1"/>
  <c r="F73" i="1"/>
  <c r="N72" i="1"/>
  <c r="M72" i="1"/>
  <c r="P72" i="1"/>
  <c r="O72" i="1"/>
  <c r="Q72" i="1" l="1"/>
  <c r="R72" i="1"/>
  <c r="N73" i="1"/>
  <c r="M73" i="1"/>
  <c r="P73" i="1"/>
  <c r="O73" i="1"/>
  <c r="B74" i="1"/>
  <c r="E74" i="1"/>
  <c r="F74" i="1"/>
  <c r="D74" i="1"/>
  <c r="H74" i="1"/>
  <c r="G74" i="1"/>
  <c r="I74" i="1"/>
  <c r="Q73" i="1" l="1"/>
  <c r="R73" i="1"/>
  <c r="P74" i="1"/>
  <c r="O74" i="1"/>
  <c r="N74" i="1"/>
  <c r="M74" i="1"/>
  <c r="E75" i="1"/>
  <c r="B75" i="1"/>
  <c r="H75" i="1"/>
  <c r="I75" i="1"/>
  <c r="F75" i="1"/>
  <c r="G75" i="1"/>
  <c r="D75" i="1"/>
  <c r="Q74" i="1" l="1"/>
  <c r="R74" i="1"/>
  <c r="N75" i="1"/>
  <c r="M75" i="1"/>
  <c r="B76" i="1"/>
  <c r="E76" i="1"/>
  <c r="F76" i="1"/>
  <c r="I76" i="1"/>
  <c r="G76" i="1"/>
  <c r="D76" i="1"/>
  <c r="H76" i="1"/>
  <c r="P75" i="1"/>
  <c r="O75" i="1"/>
  <c r="Q75" i="1" l="1"/>
  <c r="R75" i="1"/>
  <c r="N76" i="1"/>
  <c r="M76" i="1"/>
  <c r="E77" i="1"/>
  <c r="B77" i="1"/>
  <c r="I77" i="1"/>
  <c r="G77" i="1"/>
  <c r="D77" i="1"/>
  <c r="H77" i="1"/>
  <c r="F77" i="1"/>
  <c r="P76" i="1"/>
  <c r="O76" i="1"/>
  <c r="Q76" i="1" l="1"/>
  <c r="R76" i="1"/>
  <c r="P77" i="1"/>
  <c r="O77" i="1"/>
  <c r="N77" i="1"/>
  <c r="M77" i="1"/>
  <c r="E78" i="1"/>
  <c r="B78" i="1"/>
  <c r="H78" i="1"/>
  <c r="I78" i="1"/>
  <c r="G78" i="1"/>
  <c r="F78" i="1"/>
  <c r="D78" i="1"/>
  <c r="Q77" i="1" l="1"/>
  <c r="R77" i="1"/>
  <c r="P78" i="1"/>
  <c r="O78" i="1"/>
  <c r="N78" i="1"/>
  <c r="M78" i="1"/>
  <c r="E79" i="1"/>
  <c r="B79" i="1"/>
  <c r="D79" i="1"/>
  <c r="G79" i="1"/>
  <c r="H79" i="1"/>
  <c r="F79" i="1"/>
  <c r="I79" i="1"/>
  <c r="Q78" i="1" l="1"/>
  <c r="R78" i="1"/>
  <c r="B80" i="1"/>
  <c r="E80" i="1"/>
  <c r="D80" i="1"/>
  <c r="H80" i="1"/>
  <c r="G80" i="1"/>
  <c r="F80" i="1"/>
  <c r="I80" i="1"/>
  <c r="N79" i="1"/>
  <c r="M79" i="1"/>
  <c r="P79" i="1"/>
  <c r="O79" i="1"/>
  <c r="Q79" i="1" l="1"/>
  <c r="R79" i="1"/>
  <c r="P80" i="1"/>
  <c r="O80" i="1"/>
  <c r="N80" i="1"/>
  <c r="M80" i="1"/>
  <c r="E81" i="1"/>
  <c r="B81" i="1"/>
  <c r="F81" i="1"/>
  <c r="H81" i="1"/>
  <c r="D81" i="1"/>
  <c r="I81" i="1"/>
  <c r="G81" i="1"/>
  <c r="Q80" i="1" l="1"/>
  <c r="R80" i="1"/>
  <c r="N81" i="1"/>
  <c r="M81" i="1"/>
  <c r="P81" i="1"/>
  <c r="O81" i="1"/>
  <c r="B82" i="1"/>
  <c r="E82" i="1"/>
  <c r="D82" i="1"/>
  <c r="I82" i="1"/>
  <c r="F82" i="1"/>
  <c r="G82" i="1"/>
  <c r="H82" i="1"/>
  <c r="Q81" i="1" l="1"/>
  <c r="R81" i="1"/>
  <c r="N82" i="1"/>
  <c r="M82" i="1"/>
  <c r="P82" i="1"/>
  <c r="O82" i="1"/>
  <c r="E83" i="1"/>
  <c r="B83" i="1"/>
  <c r="D83" i="1"/>
  <c r="G83" i="1"/>
  <c r="F83" i="1"/>
  <c r="H83" i="1"/>
  <c r="I83" i="1"/>
  <c r="Q82" i="1" l="1"/>
  <c r="R82" i="1"/>
  <c r="N83" i="1"/>
  <c r="M83" i="1"/>
  <c r="E84" i="1"/>
  <c r="B84" i="1"/>
  <c r="I84" i="1"/>
  <c r="G84" i="1"/>
  <c r="F84" i="1"/>
  <c r="H84" i="1"/>
  <c r="D84" i="1"/>
  <c r="P83" i="1"/>
  <c r="O83" i="1"/>
  <c r="Q83" i="1" l="1"/>
  <c r="R83" i="1"/>
  <c r="E85" i="1"/>
  <c r="B85" i="1"/>
  <c r="D85" i="1"/>
  <c r="I85" i="1"/>
  <c r="H85" i="1"/>
  <c r="G85" i="1"/>
  <c r="F85" i="1"/>
  <c r="N84" i="1"/>
  <c r="M84" i="1"/>
  <c r="P84" i="1"/>
  <c r="O84" i="1"/>
  <c r="Q84" i="1" l="1"/>
  <c r="R84" i="1"/>
  <c r="N85" i="1"/>
  <c r="M85" i="1"/>
  <c r="E86" i="1"/>
  <c r="B86" i="1"/>
  <c r="H86" i="1"/>
  <c r="G86" i="1"/>
  <c r="D86" i="1"/>
  <c r="F86" i="1"/>
  <c r="I86" i="1"/>
  <c r="P85" i="1"/>
  <c r="O85" i="1"/>
  <c r="Q85" i="1" l="1"/>
  <c r="R85" i="1"/>
  <c r="E87" i="1"/>
  <c r="B87" i="1"/>
  <c r="H87" i="1"/>
  <c r="I87" i="1"/>
  <c r="G87" i="1"/>
  <c r="D87" i="1"/>
  <c r="F87" i="1"/>
  <c r="N86" i="1"/>
  <c r="M86" i="1"/>
  <c r="P86" i="1"/>
  <c r="O86" i="1"/>
  <c r="Q86" i="1" l="1"/>
  <c r="R86" i="1"/>
  <c r="E88" i="1"/>
  <c r="B88" i="1"/>
  <c r="G88" i="1"/>
  <c r="H88" i="1"/>
  <c r="I88" i="1"/>
  <c r="D88" i="1"/>
  <c r="F88" i="1"/>
  <c r="N87" i="1"/>
  <c r="M87" i="1"/>
  <c r="P87" i="1"/>
  <c r="O87" i="1"/>
  <c r="Q87" i="1" l="1"/>
  <c r="R87" i="1"/>
  <c r="P88" i="1"/>
  <c r="O88" i="1"/>
  <c r="N88" i="1"/>
  <c r="M88" i="1"/>
  <c r="E89" i="1"/>
  <c r="B89" i="1"/>
  <c r="G89" i="1"/>
  <c r="H89" i="1"/>
  <c r="D89" i="1"/>
  <c r="I89" i="1"/>
  <c r="F89" i="1"/>
  <c r="Q88" i="1" l="1"/>
  <c r="R88" i="1"/>
  <c r="P89" i="1"/>
  <c r="O89" i="1"/>
  <c r="N89" i="1"/>
  <c r="M89" i="1"/>
  <c r="E90" i="1"/>
  <c r="B90" i="1"/>
  <c r="H90" i="1"/>
  <c r="F90" i="1"/>
  <c r="D90" i="1"/>
  <c r="I90" i="1"/>
  <c r="G90" i="1"/>
  <c r="Q89" i="1" l="1"/>
  <c r="R89" i="1"/>
  <c r="P90" i="1"/>
  <c r="O90" i="1"/>
  <c r="N90" i="1"/>
  <c r="M90" i="1"/>
  <c r="E91" i="1"/>
  <c r="B91" i="1"/>
  <c r="I91" i="1"/>
  <c r="G91" i="1"/>
  <c r="D91" i="1"/>
  <c r="F91" i="1"/>
  <c r="H91" i="1"/>
  <c r="Q90" i="1" l="1"/>
  <c r="R90" i="1"/>
  <c r="B92" i="1"/>
  <c r="E92" i="1"/>
  <c r="F92" i="1"/>
  <c r="D92" i="1"/>
  <c r="I92" i="1"/>
  <c r="G92" i="1"/>
  <c r="H92" i="1"/>
  <c r="P91" i="1"/>
  <c r="O91" i="1"/>
  <c r="N91" i="1"/>
  <c r="M91" i="1"/>
  <c r="Q91" i="1" l="1"/>
  <c r="R91" i="1"/>
  <c r="N92" i="1"/>
  <c r="M92" i="1"/>
  <c r="P92" i="1"/>
  <c r="O92" i="1"/>
  <c r="E93" i="1"/>
  <c r="B93" i="1"/>
  <c r="I93" i="1"/>
  <c r="D93" i="1"/>
  <c r="G93" i="1"/>
  <c r="H93" i="1"/>
  <c r="F93" i="1"/>
  <c r="Q92" i="1" l="1"/>
  <c r="R92" i="1"/>
  <c r="E94" i="1"/>
  <c r="B94" i="1"/>
  <c r="D94" i="1"/>
  <c r="I94" i="1"/>
  <c r="G94" i="1"/>
  <c r="F94" i="1"/>
  <c r="H94" i="1"/>
  <c r="P93" i="1"/>
  <c r="O93" i="1"/>
  <c r="N93" i="1"/>
  <c r="M93" i="1"/>
  <c r="Q93" i="1" l="1"/>
  <c r="R93" i="1"/>
  <c r="N94" i="1"/>
  <c r="M94" i="1"/>
  <c r="P94" i="1"/>
  <c r="O94" i="1"/>
  <c r="E95" i="1"/>
  <c r="B95" i="1"/>
  <c r="G95" i="1"/>
  <c r="I95" i="1"/>
  <c r="D95" i="1"/>
  <c r="F95" i="1"/>
  <c r="H95" i="1"/>
  <c r="Q94" i="1" l="1"/>
  <c r="R94" i="1"/>
  <c r="E96" i="1"/>
  <c r="B96" i="1"/>
  <c r="H96" i="1"/>
  <c r="G96" i="1"/>
  <c r="D96" i="1"/>
  <c r="I96" i="1"/>
  <c r="F96" i="1"/>
  <c r="N95" i="1"/>
  <c r="M95" i="1"/>
  <c r="P95" i="1"/>
  <c r="O95" i="1"/>
  <c r="Q95" i="1" l="1"/>
  <c r="R95" i="1"/>
  <c r="N96" i="1"/>
  <c r="M96" i="1"/>
  <c r="P96" i="1"/>
  <c r="O96" i="1"/>
  <c r="E97" i="1"/>
  <c r="B97" i="1"/>
  <c r="H97" i="1"/>
  <c r="G97" i="1"/>
  <c r="D97" i="1"/>
  <c r="I97" i="1"/>
  <c r="F97" i="1"/>
  <c r="Q96" i="1" l="1"/>
  <c r="R96" i="1"/>
  <c r="N97" i="1"/>
  <c r="M97" i="1"/>
  <c r="P97" i="1"/>
  <c r="O97" i="1"/>
  <c r="E98" i="1"/>
  <c r="B98" i="1"/>
  <c r="I98" i="1"/>
  <c r="H98" i="1"/>
  <c r="F98" i="1"/>
  <c r="G98" i="1"/>
  <c r="D98" i="1"/>
  <c r="Q97" i="1" l="1"/>
  <c r="R97" i="1"/>
  <c r="P98" i="1"/>
  <c r="O98" i="1"/>
  <c r="N98" i="1"/>
  <c r="M98" i="1"/>
  <c r="E99" i="1"/>
  <c r="B99" i="1"/>
  <c r="H99" i="1"/>
  <c r="F99" i="1"/>
  <c r="D99" i="1"/>
  <c r="I99" i="1"/>
  <c r="G99" i="1"/>
  <c r="Q98" i="1" l="1"/>
  <c r="R98" i="1"/>
  <c r="N99" i="1"/>
  <c r="M99" i="1"/>
  <c r="P99" i="1"/>
  <c r="O99" i="1"/>
  <c r="E100" i="1"/>
  <c r="B100" i="1"/>
  <c r="D100" i="1"/>
  <c r="I100" i="1"/>
  <c r="G100" i="1"/>
  <c r="F100" i="1"/>
  <c r="H100" i="1"/>
  <c r="Q99" i="1" l="1"/>
  <c r="R99" i="1"/>
  <c r="N100" i="1"/>
  <c r="M100" i="1"/>
  <c r="P100" i="1"/>
  <c r="O100" i="1"/>
  <c r="E101" i="1"/>
  <c r="B101" i="1"/>
  <c r="D101" i="1"/>
  <c r="H101" i="1"/>
  <c r="I101" i="1"/>
  <c r="G101" i="1"/>
  <c r="F101" i="1"/>
  <c r="Q100" i="1" l="1"/>
  <c r="R100" i="1"/>
  <c r="N101" i="1"/>
  <c r="M101" i="1"/>
  <c r="E102" i="1"/>
  <c r="B102" i="1"/>
  <c r="D102" i="1"/>
  <c r="I102" i="1"/>
  <c r="G102" i="1"/>
  <c r="H102" i="1"/>
  <c r="F102" i="1"/>
  <c r="P101" i="1"/>
  <c r="O101" i="1"/>
  <c r="Q101" i="1" l="1"/>
  <c r="R101" i="1"/>
  <c r="E103" i="1"/>
  <c r="B103" i="1"/>
  <c r="D103" i="1"/>
  <c r="I103" i="1"/>
  <c r="H103" i="1"/>
  <c r="G103" i="1"/>
  <c r="F103" i="1"/>
  <c r="P102" i="1"/>
  <c r="O102" i="1"/>
  <c r="N102" i="1"/>
  <c r="M102" i="1"/>
  <c r="Q102" i="1" l="1"/>
  <c r="R102" i="1"/>
  <c r="N103" i="1"/>
  <c r="M103" i="1"/>
  <c r="E104" i="1"/>
  <c r="B104" i="1"/>
  <c r="D104" i="1"/>
  <c r="G104" i="1"/>
  <c r="H104" i="1"/>
  <c r="I104" i="1"/>
  <c r="F104" i="1"/>
  <c r="P103" i="1"/>
  <c r="O103" i="1"/>
  <c r="Q103" i="1" l="1"/>
  <c r="R103" i="1"/>
  <c r="E105" i="1"/>
  <c r="B105" i="1"/>
  <c r="G105" i="1"/>
  <c r="D105" i="1"/>
  <c r="I105" i="1"/>
  <c r="H105" i="1"/>
  <c r="F105" i="1"/>
  <c r="P104" i="1"/>
  <c r="O104" i="1"/>
  <c r="N104" i="1"/>
  <c r="M104" i="1"/>
  <c r="Q104" i="1" l="1"/>
  <c r="R104" i="1"/>
  <c r="N105" i="1"/>
  <c r="M105" i="1"/>
  <c r="P105" i="1"/>
  <c r="O105" i="1"/>
  <c r="E106" i="1"/>
  <c r="B106" i="1"/>
  <c r="F106" i="1"/>
  <c r="H106" i="1"/>
  <c r="I106" i="1"/>
  <c r="D106" i="1"/>
  <c r="G106" i="1"/>
  <c r="Q105" i="1" l="1"/>
  <c r="R105" i="1"/>
  <c r="N106" i="1"/>
  <c r="M106" i="1"/>
  <c r="P106" i="1"/>
  <c r="O106" i="1"/>
  <c r="E107" i="1"/>
  <c r="B107" i="1"/>
  <c r="H107" i="1"/>
  <c r="I107" i="1"/>
  <c r="G107" i="1"/>
  <c r="F107" i="1"/>
  <c r="D107" i="1"/>
  <c r="Q106" i="1" l="1"/>
  <c r="R106" i="1"/>
  <c r="E108" i="1"/>
  <c r="B108" i="1"/>
  <c r="F108" i="1"/>
  <c r="I108" i="1"/>
  <c r="G108" i="1"/>
  <c r="D108" i="1"/>
  <c r="H108" i="1"/>
  <c r="P107" i="1"/>
  <c r="O107" i="1"/>
  <c r="N107" i="1"/>
  <c r="M107" i="1"/>
  <c r="Q107" i="1" l="1"/>
  <c r="R107" i="1"/>
  <c r="P108" i="1"/>
  <c r="O108" i="1"/>
  <c r="N108" i="1"/>
  <c r="M108" i="1"/>
  <c r="B109" i="1"/>
  <c r="E109" i="1"/>
  <c r="H109" i="1"/>
  <c r="I109" i="1"/>
  <c r="G109" i="1"/>
  <c r="D109" i="1"/>
  <c r="F109" i="1"/>
  <c r="Q108" i="1" l="1"/>
  <c r="R108" i="1"/>
  <c r="N109" i="1"/>
  <c r="M109" i="1"/>
  <c r="E110" i="1"/>
  <c r="B110" i="1"/>
  <c r="I110" i="1"/>
  <c r="H110" i="1"/>
  <c r="G110" i="1"/>
  <c r="D110" i="1"/>
  <c r="F110" i="1"/>
  <c r="P109" i="1"/>
  <c r="O109" i="1"/>
  <c r="Q109" i="1" l="1"/>
  <c r="R109" i="1"/>
  <c r="E111" i="1"/>
  <c r="B111" i="1"/>
  <c r="H111" i="1"/>
  <c r="G111" i="1"/>
  <c r="D111" i="1"/>
  <c r="F111" i="1"/>
  <c r="I111" i="1"/>
  <c r="P110" i="1"/>
  <c r="O110" i="1"/>
  <c r="N110" i="1"/>
  <c r="M110" i="1"/>
  <c r="Q110" i="1" l="1"/>
  <c r="R110" i="1"/>
  <c r="N111" i="1"/>
  <c r="M111" i="1"/>
  <c r="E112" i="1"/>
  <c r="B112" i="1"/>
  <c r="H112" i="1"/>
  <c r="G112" i="1"/>
  <c r="D112" i="1"/>
  <c r="F112" i="1"/>
  <c r="I112" i="1"/>
  <c r="P111" i="1"/>
  <c r="O111" i="1"/>
  <c r="Q111" i="1" l="1"/>
  <c r="R111" i="1"/>
  <c r="B113" i="1"/>
  <c r="E113" i="1"/>
  <c r="H113" i="1"/>
  <c r="G113" i="1"/>
  <c r="F113" i="1"/>
  <c r="D113" i="1"/>
  <c r="I113" i="1"/>
  <c r="N112" i="1"/>
  <c r="M112" i="1"/>
  <c r="P112" i="1"/>
  <c r="O112" i="1"/>
  <c r="Q112" i="1" l="1"/>
  <c r="R112" i="1"/>
  <c r="N113" i="1"/>
  <c r="M113" i="1"/>
  <c r="P113" i="1"/>
  <c r="O113" i="1"/>
  <c r="E114" i="1"/>
  <c r="B114" i="1"/>
  <c r="D114" i="1"/>
  <c r="I114" i="1"/>
  <c r="F114" i="1"/>
  <c r="G114" i="1"/>
  <c r="H114" i="1"/>
  <c r="Q113" i="1" l="1"/>
  <c r="R113" i="1"/>
  <c r="N114" i="1"/>
  <c r="M114" i="1"/>
  <c r="P114" i="1"/>
  <c r="O114" i="1"/>
  <c r="E115" i="1"/>
  <c r="B115" i="1"/>
  <c r="F115" i="1"/>
  <c r="D115" i="1"/>
  <c r="H115" i="1"/>
  <c r="I115" i="1"/>
  <c r="G115" i="1"/>
  <c r="Q114" i="1" l="1"/>
  <c r="R114" i="1"/>
  <c r="N115" i="1"/>
  <c r="M115" i="1"/>
  <c r="E116" i="1"/>
  <c r="B116" i="1"/>
  <c r="I116" i="1"/>
  <c r="G116" i="1"/>
  <c r="F116" i="1"/>
  <c r="D116" i="1"/>
  <c r="H116" i="1"/>
  <c r="P115" i="1"/>
  <c r="O115" i="1"/>
  <c r="Q115" i="1" l="1"/>
  <c r="R115" i="1"/>
  <c r="E117" i="1"/>
  <c r="B117" i="1"/>
  <c r="D117" i="1"/>
  <c r="I117" i="1"/>
  <c r="H117" i="1"/>
  <c r="G117" i="1"/>
  <c r="F117" i="1"/>
  <c r="N116" i="1"/>
  <c r="M116" i="1"/>
  <c r="P116" i="1"/>
  <c r="O116" i="1"/>
  <c r="Q116" i="1" l="1"/>
  <c r="R116" i="1"/>
  <c r="N117" i="1"/>
  <c r="M117" i="1"/>
  <c r="E118" i="1"/>
  <c r="B118" i="1"/>
  <c r="H118" i="1"/>
  <c r="I118" i="1"/>
  <c r="D118" i="1"/>
  <c r="G118" i="1"/>
  <c r="F118" i="1"/>
  <c r="P117" i="1"/>
  <c r="O117" i="1"/>
  <c r="Q117" i="1" l="1"/>
  <c r="R117" i="1"/>
  <c r="E119" i="1"/>
  <c r="B119" i="1"/>
  <c r="H119" i="1"/>
  <c r="I119" i="1"/>
  <c r="D119" i="1"/>
  <c r="F119" i="1"/>
  <c r="G119" i="1"/>
  <c r="P118" i="1"/>
  <c r="O118" i="1"/>
  <c r="N118" i="1"/>
  <c r="M118" i="1"/>
  <c r="Q118" i="1" l="1"/>
  <c r="R118" i="1"/>
  <c r="N119" i="1"/>
  <c r="M119" i="1"/>
  <c r="E120" i="1"/>
  <c r="B120" i="1"/>
  <c r="G120" i="1"/>
  <c r="H120" i="1"/>
  <c r="I120" i="1"/>
  <c r="D120" i="1"/>
  <c r="F120" i="1"/>
  <c r="P119" i="1"/>
  <c r="O119" i="1"/>
  <c r="Q119" i="1" l="1"/>
  <c r="R119" i="1"/>
  <c r="B121" i="1"/>
  <c r="E121" i="1"/>
  <c r="H121" i="1"/>
  <c r="G121" i="1"/>
  <c r="D121" i="1"/>
  <c r="I121" i="1"/>
  <c r="F121" i="1"/>
  <c r="N120" i="1"/>
  <c r="M120" i="1"/>
  <c r="P120" i="1"/>
  <c r="O120" i="1"/>
  <c r="Q120" i="1" l="1"/>
  <c r="R120" i="1"/>
  <c r="N121" i="1"/>
  <c r="M121" i="1"/>
  <c r="P121" i="1"/>
  <c r="O121" i="1"/>
  <c r="E122" i="1"/>
  <c r="B122" i="1"/>
  <c r="D122" i="1"/>
  <c r="F122" i="1"/>
  <c r="H122" i="1"/>
  <c r="I122" i="1"/>
  <c r="G122" i="1"/>
  <c r="Q121" i="1" l="1"/>
  <c r="R121" i="1"/>
  <c r="E123" i="1"/>
  <c r="B123" i="1"/>
  <c r="D123" i="1"/>
  <c r="I123" i="1"/>
  <c r="F123" i="1"/>
  <c r="H123" i="1"/>
  <c r="G123" i="1"/>
  <c r="P122" i="1"/>
  <c r="O122" i="1"/>
  <c r="N122" i="1"/>
  <c r="M122" i="1"/>
  <c r="Q122" i="1" l="1"/>
  <c r="R122" i="1"/>
  <c r="N123" i="1"/>
  <c r="M123" i="1"/>
  <c r="E124" i="1"/>
  <c r="B124" i="1"/>
  <c r="D124" i="1"/>
  <c r="F124" i="1"/>
  <c r="I124" i="1"/>
  <c r="G124" i="1"/>
  <c r="H124" i="1"/>
  <c r="P123" i="1"/>
  <c r="O123" i="1"/>
  <c r="Q123" i="1" l="1"/>
  <c r="R123" i="1"/>
  <c r="B125" i="1"/>
  <c r="E125" i="1"/>
  <c r="I125" i="1"/>
  <c r="D125" i="1"/>
  <c r="G125" i="1"/>
  <c r="F125" i="1"/>
  <c r="H125" i="1"/>
  <c r="N124" i="1"/>
  <c r="M124" i="1"/>
  <c r="P124" i="1"/>
  <c r="O124" i="1"/>
  <c r="Q124" i="1" l="1"/>
  <c r="R124" i="1"/>
  <c r="N125" i="1"/>
  <c r="M125" i="1"/>
  <c r="E126" i="1"/>
  <c r="B126" i="1"/>
  <c r="D126" i="1"/>
  <c r="I126" i="1"/>
  <c r="G126" i="1"/>
  <c r="H126" i="1"/>
  <c r="F126" i="1"/>
  <c r="P125" i="1"/>
  <c r="O125" i="1"/>
  <c r="Q125" i="1" l="1"/>
  <c r="R125" i="1"/>
  <c r="E127" i="1"/>
  <c r="B127" i="1"/>
  <c r="G127" i="1"/>
  <c r="D127" i="1"/>
  <c r="H127" i="1"/>
  <c r="I127" i="1"/>
  <c r="F127" i="1"/>
  <c r="P126" i="1"/>
  <c r="O126" i="1"/>
  <c r="N126" i="1"/>
  <c r="M126" i="1"/>
  <c r="Q126" i="1" l="1"/>
  <c r="R126" i="1"/>
  <c r="N127" i="1"/>
  <c r="M127" i="1"/>
  <c r="E128" i="1"/>
  <c r="B128" i="1"/>
  <c r="H128" i="1"/>
  <c r="G128" i="1"/>
  <c r="I128" i="1"/>
  <c r="F128" i="1"/>
  <c r="D128" i="1"/>
  <c r="P127" i="1"/>
  <c r="O127" i="1"/>
  <c r="Q127" i="1" l="1"/>
  <c r="R127" i="1"/>
  <c r="B129" i="1"/>
  <c r="E129" i="1"/>
  <c r="H129" i="1"/>
  <c r="F129" i="1"/>
  <c r="D129" i="1"/>
  <c r="I129" i="1"/>
  <c r="G129" i="1"/>
  <c r="P128" i="1"/>
  <c r="O128" i="1"/>
  <c r="N128" i="1"/>
  <c r="M128" i="1"/>
  <c r="Q128" i="1" l="1"/>
  <c r="R128" i="1"/>
  <c r="N129" i="1"/>
  <c r="M129" i="1"/>
  <c r="P129" i="1"/>
  <c r="O129" i="1"/>
  <c r="E130" i="1"/>
  <c r="B130" i="1"/>
  <c r="H130" i="1"/>
  <c r="I130" i="1"/>
  <c r="F130" i="1"/>
  <c r="D130" i="1"/>
  <c r="G130" i="1"/>
  <c r="Q129" i="1" l="1"/>
  <c r="R129" i="1"/>
  <c r="N130" i="1"/>
  <c r="M130" i="1"/>
  <c r="P130" i="1"/>
  <c r="O130" i="1"/>
  <c r="E131" i="1"/>
  <c r="B131" i="1"/>
  <c r="F131" i="1"/>
  <c r="H131" i="1"/>
  <c r="G131" i="1"/>
  <c r="I131" i="1"/>
  <c r="D131" i="1"/>
  <c r="Q130" i="1" l="1"/>
  <c r="R130" i="1"/>
  <c r="E132" i="1"/>
  <c r="B132" i="1"/>
  <c r="I132" i="1"/>
  <c r="D132" i="1"/>
  <c r="G132" i="1"/>
  <c r="F132" i="1"/>
  <c r="H132" i="1"/>
  <c r="N131" i="1"/>
  <c r="M131" i="1"/>
  <c r="P131" i="1"/>
  <c r="O131" i="1"/>
  <c r="Q131" i="1" l="1"/>
  <c r="R131" i="1"/>
  <c r="N132" i="1"/>
  <c r="M132" i="1"/>
  <c r="P132" i="1"/>
  <c r="O132" i="1"/>
  <c r="E133" i="1"/>
  <c r="B133" i="1"/>
  <c r="D133" i="1"/>
  <c r="H133" i="1"/>
  <c r="I133" i="1"/>
  <c r="G133" i="1"/>
  <c r="F133" i="1"/>
  <c r="Q132" i="1" l="1"/>
  <c r="R132" i="1"/>
  <c r="N133" i="1"/>
  <c r="M133" i="1"/>
  <c r="E134" i="1"/>
  <c r="B134" i="1"/>
  <c r="D134" i="1"/>
  <c r="H134" i="1"/>
  <c r="I134" i="1"/>
  <c r="G134" i="1"/>
  <c r="F134" i="1"/>
  <c r="P133" i="1"/>
  <c r="O133" i="1"/>
  <c r="Q133" i="1" l="1"/>
  <c r="R133" i="1"/>
  <c r="E135" i="1"/>
  <c r="B135" i="1"/>
  <c r="I135" i="1"/>
  <c r="D135" i="1"/>
  <c r="H135" i="1"/>
  <c r="G135" i="1"/>
  <c r="F135" i="1"/>
  <c r="P134" i="1"/>
  <c r="O134" i="1"/>
  <c r="N134" i="1"/>
  <c r="M134" i="1"/>
  <c r="Q134" i="1" l="1"/>
  <c r="R134" i="1"/>
  <c r="N135" i="1"/>
  <c r="M135" i="1"/>
  <c r="E136" i="1"/>
  <c r="B136" i="1"/>
  <c r="G136" i="1"/>
  <c r="D136" i="1"/>
  <c r="H136" i="1"/>
  <c r="I136" i="1"/>
  <c r="F136" i="1"/>
  <c r="P135" i="1"/>
  <c r="O135" i="1"/>
  <c r="Q135" i="1" l="1"/>
  <c r="R135" i="1"/>
  <c r="B137" i="1"/>
  <c r="E137" i="1"/>
  <c r="G137" i="1"/>
  <c r="D137" i="1"/>
  <c r="H137" i="1"/>
  <c r="I137" i="1"/>
  <c r="F137" i="1"/>
  <c r="P136" i="1"/>
  <c r="O136" i="1"/>
  <c r="N136" i="1"/>
  <c r="M136" i="1"/>
  <c r="Q136" i="1" l="1"/>
  <c r="R136" i="1"/>
  <c r="N137" i="1"/>
  <c r="M137" i="1"/>
  <c r="P137" i="1"/>
  <c r="O137" i="1"/>
  <c r="E138" i="1"/>
  <c r="B138" i="1"/>
  <c r="F138" i="1"/>
  <c r="D138" i="1"/>
  <c r="I138" i="1"/>
  <c r="H138" i="1"/>
  <c r="G138" i="1"/>
  <c r="Q137" i="1" l="1"/>
  <c r="R137" i="1"/>
  <c r="N138" i="1"/>
  <c r="M138" i="1"/>
  <c r="P138" i="1"/>
  <c r="O138" i="1"/>
  <c r="E139" i="1"/>
  <c r="B139" i="1"/>
  <c r="H139" i="1"/>
  <c r="I139" i="1"/>
  <c r="F139" i="1"/>
  <c r="D139" i="1"/>
  <c r="G139" i="1"/>
  <c r="Q138" i="1" l="1"/>
  <c r="R138" i="1"/>
  <c r="N139" i="1"/>
  <c r="M139" i="1"/>
  <c r="E140" i="1"/>
  <c r="B140" i="1"/>
  <c r="F140" i="1"/>
  <c r="I140" i="1"/>
  <c r="G140" i="1"/>
  <c r="D140" i="1"/>
  <c r="H140" i="1"/>
  <c r="P139" i="1"/>
  <c r="O139" i="1"/>
  <c r="Q139" i="1" l="1"/>
  <c r="R139" i="1"/>
  <c r="P140" i="1"/>
  <c r="O140" i="1"/>
  <c r="B141" i="1"/>
  <c r="E141" i="1"/>
  <c r="I141" i="1"/>
  <c r="G141" i="1"/>
  <c r="D141" i="1"/>
  <c r="H141" i="1"/>
  <c r="F141" i="1"/>
  <c r="N140" i="1"/>
  <c r="M140" i="1"/>
  <c r="Q140" i="1" l="1"/>
  <c r="R140" i="1"/>
  <c r="E142" i="1"/>
  <c r="B142" i="1"/>
  <c r="H142" i="1"/>
  <c r="I142" i="1"/>
  <c r="D142" i="1"/>
  <c r="G142" i="1"/>
  <c r="F142" i="1"/>
  <c r="P141" i="1"/>
  <c r="O141" i="1"/>
  <c r="N141" i="1"/>
  <c r="M141" i="1"/>
  <c r="Q141" i="1" l="1"/>
  <c r="R141" i="1"/>
  <c r="P142" i="1"/>
  <c r="O142" i="1"/>
  <c r="N142" i="1"/>
  <c r="M142" i="1"/>
  <c r="E143" i="1"/>
  <c r="B143" i="1"/>
  <c r="D143" i="1"/>
  <c r="G143" i="1"/>
  <c r="H143" i="1"/>
  <c r="F143" i="1"/>
  <c r="I143" i="1"/>
  <c r="Q142" i="1" l="1"/>
  <c r="R142" i="1"/>
  <c r="N143" i="1"/>
  <c r="M143" i="1"/>
  <c r="E144" i="1"/>
  <c r="B144" i="1"/>
  <c r="D144" i="1"/>
  <c r="H144" i="1"/>
  <c r="G144" i="1"/>
  <c r="F144" i="1"/>
  <c r="I144" i="1"/>
  <c r="P143" i="1"/>
  <c r="O143" i="1"/>
  <c r="Q143" i="1" l="1"/>
  <c r="R143" i="1"/>
  <c r="B145" i="1"/>
  <c r="E145" i="1"/>
  <c r="F145" i="1"/>
  <c r="D145" i="1"/>
  <c r="H145" i="1"/>
  <c r="G145" i="1"/>
  <c r="I145" i="1"/>
  <c r="N144" i="1"/>
  <c r="M144" i="1"/>
  <c r="P144" i="1"/>
  <c r="O144" i="1"/>
  <c r="Q144" i="1" l="1"/>
  <c r="R144" i="1"/>
  <c r="N145" i="1"/>
  <c r="M145" i="1"/>
  <c r="P145" i="1"/>
  <c r="O145" i="1"/>
  <c r="E146" i="1"/>
  <c r="B146" i="1"/>
  <c r="D146" i="1"/>
  <c r="I146" i="1"/>
  <c r="F146" i="1"/>
  <c r="H146" i="1"/>
  <c r="G146" i="1"/>
  <c r="Q145" i="1" l="1"/>
  <c r="R145" i="1"/>
  <c r="P146" i="1"/>
  <c r="O146" i="1"/>
  <c r="N146" i="1"/>
  <c r="M146" i="1"/>
  <c r="E147" i="1"/>
  <c r="B147" i="1"/>
  <c r="D147" i="1"/>
  <c r="F147" i="1"/>
  <c r="G147" i="1"/>
  <c r="I147" i="1"/>
  <c r="H147" i="1"/>
  <c r="Q146" i="1" l="1"/>
  <c r="R146" i="1"/>
  <c r="E148" i="1"/>
  <c r="B148" i="1"/>
  <c r="I148" i="1"/>
  <c r="G148" i="1"/>
  <c r="F148" i="1"/>
  <c r="H148" i="1"/>
  <c r="D148" i="1"/>
  <c r="N147" i="1"/>
  <c r="M147" i="1"/>
  <c r="P147" i="1"/>
  <c r="O147" i="1"/>
  <c r="Q147" i="1" l="1"/>
  <c r="R147" i="1"/>
  <c r="N148" i="1"/>
  <c r="M148" i="1"/>
  <c r="P148" i="1"/>
  <c r="O148" i="1"/>
  <c r="E149" i="1"/>
  <c r="B149" i="1"/>
  <c r="D149" i="1"/>
  <c r="I149" i="1"/>
  <c r="H149" i="1"/>
  <c r="G149" i="1"/>
  <c r="F149" i="1"/>
  <c r="Q148" i="1" l="1"/>
  <c r="R148" i="1"/>
  <c r="P149" i="1"/>
  <c r="O149" i="1"/>
  <c r="N149" i="1"/>
  <c r="M149" i="1"/>
  <c r="E150" i="1"/>
  <c r="B150" i="1"/>
  <c r="H150" i="1"/>
  <c r="D150" i="1"/>
  <c r="G150" i="1"/>
  <c r="F150" i="1"/>
  <c r="I150" i="1"/>
  <c r="Q149" i="1" l="1"/>
  <c r="R149" i="1"/>
  <c r="N150" i="1"/>
  <c r="M150" i="1"/>
  <c r="P150" i="1"/>
  <c r="O150" i="1"/>
  <c r="E151" i="1"/>
  <c r="B151" i="1"/>
  <c r="H151" i="1"/>
  <c r="I151" i="1"/>
  <c r="G151" i="1"/>
  <c r="F151" i="1"/>
  <c r="D151" i="1"/>
  <c r="Q150" i="1" l="1"/>
  <c r="R150" i="1"/>
  <c r="N151" i="1"/>
  <c r="M151" i="1"/>
  <c r="E152" i="1"/>
  <c r="B152" i="1"/>
  <c r="G152" i="1"/>
  <c r="H152" i="1"/>
  <c r="I152" i="1"/>
  <c r="D152" i="1"/>
  <c r="F152" i="1"/>
  <c r="P151" i="1"/>
  <c r="O151" i="1"/>
  <c r="Q151" i="1" l="1"/>
  <c r="R151" i="1"/>
  <c r="B153" i="1"/>
  <c r="E153" i="1"/>
  <c r="G153" i="1"/>
  <c r="H153" i="1"/>
  <c r="D153" i="1"/>
  <c r="I153" i="1"/>
  <c r="F153" i="1"/>
  <c r="N152" i="1"/>
  <c r="M152" i="1"/>
  <c r="P152" i="1"/>
  <c r="O152" i="1"/>
  <c r="Q152" i="1" l="1"/>
  <c r="R152" i="1"/>
  <c r="N153" i="1"/>
  <c r="M153" i="1"/>
  <c r="P153" i="1"/>
  <c r="O153" i="1"/>
  <c r="E154" i="1"/>
  <c r="B154" i="1"/>
  <c r="H154" i="1"/>
  <c r="F154" i="1"/>
  <c r="D154" i="1"/>
  <c r="I154" i="1"/>
  <c r="G154" i="1"/>
  <c r="Q153" i="1" l="1"/>
  <c r="R153" i="1"/>
  <c r="N154" i="1"/>
  <c r="M154" i="1"/>
  <c r="P154" i="1"/>
  <c r="O154" i="1"/>
  <c r="E155" i="1"/>
  <c r="B155" i="1"/>
  <c r="I155" i="1"/>
  <c r="D155" i="1"/>
  <c r="G155" i="1"/>
  <c r="H155" i="1"/>
  <c r="F155" i="1"/>
  <c r="Q154" i="1" l="1"/>
  <c r="R154" i="1"/>
  <c r="E156" i="1"/>
  <c r="B156" i="1"/>
  <c r="F156" i="1"/>
  <c r="D156" i="1"/>
  <c r="I156" i="1"/>
  <c r="G156" i="1"/>
  <c r="H156" i="1"/>
  <c r="N155" i="1"/>
  <c r="M155" i="1"/>
  <c r="P155" i="1"/>
  <c r="O155" i="1"/>
  <c r="Q155" i="1" l="1"/>
  <c r="R155" i="1"/>
  <c r="N156" i="1"/>
  <c r="M156" i="1"/>
  <c r="P156" i="1"/>
  <c r="O156" i="1"/>
  <c r="B157" i="1"/>
  <c r="E157" i="1"/>
  <c r="I157" i="1"/>
  <c r="D157" i="1"/>
  <c r="G157" i="1"/>
  <c r="F157" i="1"/>
  <c r="H157" i="1"/>
  <c r="Q156" i="1" l="1"/>
  <c r="R156" i="1"/>
  <c r="N157" i="1"/>
  <c r="M157" i="1"/>
  <c r="E158" i="1"/>
  <c r="B158" i="1"/>
  <c r="D158" i="1"/>
  <c r="I158" i="1"/>
  <c r="H158" i="1"/>
  <c r="G158" i="1"/>
  <c r="F158" i="1"/>
  <c r="P157" i="1"/>
  <c r="O157" i="1"/>
  <c r="Q157" i="1" l="1"/>
  <c r="R157" i="1"/>
  <c r="P158" i="1"/>
  <c r="O158" i="1"/>
  <c r="N158" i="1"/>
  <c r="M158" i="1"/>
  <c r="Q158" i="1" l="1"/>
  <c r="R158" i="1"/>
</calcChain>
</file>

<file path=xl/sharedStrings.xml><?xml version="1.0" encoding="utf-8"?>
<sst xmlns="http://schemas.openxmlformats.org/spreadsheetml/2006/main" count="63" uniqueCount="62">
  <si>
    <t>Parameter</t>
  </si>
  <si>
    <t>Ks0</t>
  </si>
  <si>
    <t>Ls0</t>
  </si>
  <si>
    <t>alpha0</t>
  </si>
  <si>
    <t>beta0</t>
  </si>
  <si>
    <t>gamma0</t>
  </si>
  <si>
    <t>A0</t>
  </si>
  <si>
    <t>B0</t>
  </si>
  <si>
    <t>Ks1</t>
  </si>
  <si>
    <t>Ls1</t>
  </si>
  <si>
    <t>alpha1</t>
  </si>
  <si>
    <t>beta1</t>
  </si>
  <si>
    <t>gamma1</t>
  </si>
  <si>
    <t>A1</t>
  </si>
  <si>
    <t>B1</t>
  </si>
  <si>
    <t>K1e0</t>
  </si>
  <si>
    <t>K2e0</t>
  </si>
  <si>
    <t>L1e0</t>
  </si>
  <si>
    <t>L2e0</t>
  </si>
  <si>
    <t>X1e0</t>
  </si>
  <si>
    <t>X2e0</t>
  </si>
  <si>
    <t>m0</t>
  </si>
  <si>
    <t>m1</t>
  </si>
  <si>
    <t>a0</t>
  </si>
  <si>
    <t>K1e1</t>
  </si>
  <si>
    <t>K2e1</t>
  </si>
  <si>
    <t>L1e1</t>
  </si>
  <si>
    <t>L2e1</t>
  </si>
  <si>
    <t>X1e1</t>
  </si>
  <si>
    <t>X2e1</t>
  </si>
  <si>
    <t>a1</t>
  </si>
  <si>
    <t>Ke0</t>
  </si>
  <si>
    <t>Ke1</t>
  </si>
  <si>
    <t>Kq11</t>
  </si>
  <si>
    <t>Kq20</t>
  </si>
  <si>
    <t>Kq21</t>
  </si>
  <si>
    <t>km0</t>
  </si>
  <si>
    <t>km1</t>
  </si>
  <si>
    <t>X10</t>
  </si>
  <si>
    <t>X20</t>
  </si>
  <si>
    <t>X11</t>
  </si>
  <si>
    <t>X21</t>
  </si>
  <si>
    <t>U0</t>
  </si>
  <si>
    <t>U1</t>
  </si>
  <si>
    <t>X2U0</t>
  </si>
  <si>
    <t>X2U1</t>
  </si>
  <si>
    <t>L10</t>
  </si>
  <si>
    <t>Boundaries</t>
  </si>
  <si>
    <t>x10</t>
  </si>
  <si>
    <t>axis</t>
  </si>
  <si>
    <t>mrsc0</t>
  </si>
  <si>
    <t>mrsc1</t>
  </si>
  <si>
    <t>ap1p20</t>
  </si>
  <si>
    <t>ap1p21</t>
  </si>
  <si>
    <t>p1p2</t>
  </si>
  <si>
    <t>Closed economy two commodities, two inputs, general competitive equilibrium</t>
  </si>
  <si>
    <t>Technology</t>
  </si>
  <si>
    <t>Preference</t>
  </si>
  <si>
    <t>Endowment</t>
  </si>
  <si>
    <t>Initial</t>
  </si>
  <si>
    <t>Changed</t>
  </si>
  <si>
    <t>By Arief Anshory Yusuf</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</si>
</sst>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11"/>
      <color theme="0"/>
      <name val="Calibri"/>
      <family val="2"/>
      <scheme val="minor"/>
    </font>
    <font>
      <sz val="11"/>
      <color theme="9" tint="-0.249977111117893"/>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2" fontId="0" fillId="2" borderId="0" xfId="0" applyNumberFormat="1" applyFill="1"/>
    <xf numFmtId="0" fontId="1" fillId="2" borderId="0" xfId="0" applyFont="1" applyFill="1"/>
    <xf numFmtId="0" fontId="0" fillId="2" borderId="0" xfId="0" applyFill="1" applyBorder="1"/>
    <xf numFmtId="0" fontId="2" fillId="2" borderId="0" xfId="0" applyFont="1" applyFill="1" applyBorder="1"/>
    <xf numFmtId="0" fontId="3" fillId="2" borderId="0" xfId="0" applyFont="1" applyFill="1" applyBorder="1" applyAlignment="1">
      <alignment horizontal="right"/>
    </xf>
    <xf numFmtId="0" fontId="3" fillId="2" borderId="0" xfId="0" applyFont="1" applyFill="1" applyBorder="1"/>
    <xf numFmtId="0" fontId="3" fillId="2" borderId="0" xfId="0" applyFont="1" applyFill="1"/>
    <xf numFmtId="0" fontId="0" fillId="2" borderId="0" xfId="0" applyFill="1" applyBorder="1" applyProtection="1">
      <protection locked="0"/>
    </xf>
    <xf numFmtId="0" fontId="2" fillId="2" borderId="0" xfId="0" applyFont="1" applyFill="1" applyBorder="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64195995978266"/>
          <c:y val="7.9842910563529781E-2"/>
          <c:w val="0.80887566391301635"/>
          <c:h val="0.77880084339203526"/>
        </c:manualLayout>
      </c:layout>
      <c:scatterChart>
        <c:scatterStyle val="smoothMarker"/>
        <c:varyColors val="0"/>
        <c:ser>
          <c:idx val="0"/>
          <c:order val="0"/>
          <c:tx>
            <c:strRef>
              <c:f>Diagram!$B$7</c:f>
              <c:strCache>
                <c:ptCount val="1"/>
                <c:pt idx="0">
                  <c:v>Ke0</c:v>
                </c:pt>
              </c:strCache>
            </c:strRef>
          </c:tx>
          <c:spPr>
            <a:ln w="25400" cap="rnd">
              <a:solidFill>
                <a:schemeClr val="bg1">
                  <a:lumMod val="50000"/>
                </a:schemeClr>
              </a:solidFill>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Diagram!$B$8:$B$108</c:f>
              <c:numCache>
                <c:formatCode>0.00</c:formatCode>
                <c:ptCount val="101"/>
                <c:pt idx="0">
                  <c:v>0</c:v>
                </c:pt>
                <c:pt idx="1">
                  <c:v>7.4766355140186938E-2</c:v>
                </c:pt>
                <c:pt idx="2">
                  <c:v>0.15094339622641512</c:v>
                </c:pt>
                <c:pt idx="3">
                  <c:v>0.22857142857142859</c:v>
                </c:pt>
                <c:pt idx="4">
                  <c:v>0.30769230769230776</c:v>
                </c:pt>
                <c:pt idx="5">
                  <c:v>0.38834951456310679</c:v>
                </c:pt>
                <c:pt idx="6">
                  <c:v>0.47058823529411764</c:v>
                </c:pt>
                <c:pt idx="7">
                  <c:v>0.55445544554455439</c:v>
                </c:pt>
                <c:pt idx="8">
                  <c:v>0.64</c:v>
                </c:pt>
                <c:pt idx="9">
                  <c:v>0.7272727272727274</c:v>
                </c:pt>
                <c:pt idx="10">
                  <c:v>0.81632653061224503</c:v>
                </c:pt>
                <c:pt idx="11">
                  <c:v>0.90721649484536093</c:v>
                </c:pt>
                <c:pt idx="12">
                  <c:v>1.0000000000000002</c:v>
                </c:pt>
                <c:pt idx="13">
                  <c:v>1.0947368421052632</c:v>
                </c:pt>
                <c:pt idx="14">
                  <c:v>1.1914893617021276</c:v>
                </c:pt>
                <c:pt idx="15">
                  <c:v>1.2903225806451613</c:v>
                </c:pt>
                <c:pt idx="16">
                  <c:v>1.3913043478260874</c:v>
                </c:pt>
                <c:pt idx="17">
                  <c:v>1.4945054945054947</c:v>
                </c:pt>
                <c:pt idx="18">
                  <c:v>1.6000000000000003</c:v>
                </c:pt>
                <c:pt idx="19">
                  <c:v>1.7078651685393262</c:v>
                </c:pt>
                <c:pt idx="20">
                  <c:v>1.8181818181818186</c:v>
                </c:pt>
                <c:pt idx="21">
                  <c:v>1.9310344827586208</c:v>
                </c:pt>
                <c:pt idx="22">
                  <c:v>2.0465116279069768</c:v>
                </c:pt>
                <c:pt idx="23">
                  <c:v>2.164705882352941</c:v>
                </c:pt>
                <c:pt idx="24">
                  <c:v>2.2857142857142856</c:v>
                </c:pt>
                <c:pt idx="25">
                  <c:v>2.4096385542168681</c:v>
                </c:pt>
                <c:pt idx="26">
                  <c:v>2.536585365853659</c:v>
                </c:pt>
                <c:pt idx="27">
                  <c:v>2.6666666666666674</c:v>
                </c:pt>
                <c:pt idx="28">
                  <c:v>2.8000000000000003</c:v>
                </c:pt>
                <c:pt idx="29">
                  <c:v>2.9367088607594942</c:v>
                </c:pt>
                <c:pt idx="30">
                  <c:v>3.0769230769230766</c:v>
                </c:pt>
                <c:pt idx="31">
                  <c:v>3.220779220779221</c:v>
                </c:pt>
                <c:pt idx="32">
                  <c:v>3.3684210526315796</c:v>
                </c:pt>
                <c:pt idx="33">
                  <c:v>3.5200000000000009</c:v>
                </c:pt>
                <c:pt idx="34">
                  <c:v>3.6756756756756763</c:v>
                </c:pt>
                <c:pt idx="35">
                  <c:v>3.8356164383561651</c:v>
                </c:pt>
                <c:pt idx="36">
                  <c:v>4.0000000000000009</c:v>
                </c:pt>
                <c:pt idx="37">
                  <c:v>4.1690140845070429</c:v>
                </c:pt>
                <c:pt idx="38">
                  <c:v>4.3428571428571425</c:v>
                </c:pt>
                <c:pt idx="39">
                  <c:v>4.5217391304347823</c:v>
                </c:pt>
                <c:pt idx="40">
                  <c:v>4.7058823529411766</c:v>
                </c:pt>
                <c:pt idx="41">
                  <c:v>4.8955223880597023</c:v>
                </c:pt>
                <c:pt idx="42">
                  <c:v>5.0909090909090917</c:v>
                </c:pt>
                <c:pt idx="43">
                  <c:v>5.292307692307693</c:v>
                </c:pt>
                <c:pt idx="44">
                  <c:v>5.5000000000000009</c:v>
                </c:pt>
                <c:pt idx="45">
                  <c:v>5.7142857142857144</c:v>
                </c:pt>
                <c:pt idx="46">
                  <c:v>5.935483870967742</c:v>
                </c:pt>
                <c:pt idx="47">
                  <c:v>6.1639344262295088</c:v>
                </c:pt>
                <c:pt idx="48">
                  <c:v>6.4</c:v>
                </c:pt>
                <c:pt idx="49">
                  <c:v>6.6440677966101696</c:v>
                </c:pt>
                <c:pt idx="50">
                  <c:v>6.8965517241379333</c:v>
                </c:pt>
                <c:pt idx="51">
                  <c:v>7.1578947368421071</c:v>
                </c:pt>
                <c:pt idx="52">
                  <c:v>7.4285714285714297</c:v>
                </c:pt>
                <c:pt idx="53">
                  <c:v>7.7090909090909099</c:v>
                </c:pt>
                <c:pt idx="54">
                  <c:v>8.0000000000000018</c:v>
                </c:pt>
                <c:pt idx="55">
                  <c:v>8.3018867924528319</c:v>
                </c:pt>
                <c:pt idx="56">
                  <c:v>8.6153846153846168</c:v>
                </c:pt>
                <c:pt idx="57">
                  <c:v>8.9411764705882355</c:v>
                </c:pt>
                <c:pt idx="58">
                  <c:v>9.2800000000000011</c:v>
                </c:pt>
                <c:pt idx="59">
                  <c:v>9.6326530612244916</c:v>
                </c:pt>
                <c:pt idx="60">
                  <c:v>10.000000000000002</c:v>
                </c:pt>
                <c:pt idx="61">
                  <c:v>10.382978723404255</c:v>
                </c:pt>
                <c:pt idx="62">
                  <c:v>10.782608695652174</c:v>
                </c:pt>
                <c:pt idx="63">
                  <c:v>11.200000000000003</c:v>
                </c:pt>
                <c:pt idx="64">
                  <c:v>11.636363636363638</c:v>
                </c:pt>
                <c:pt idx="65">
                  <c:v>12.093023255813954</c:v>
                </c:pt>
                <c:pt idx="66">
                  <c:v>12.571428571428575</c:v>
                </c:pt>
                <c:pt idx="67">
                  <c:v>13.07317073170732</c:v>
                </c:pt>
                <c:pt idx="68">
                  <c:v>13.600000000000003</c:v>
                </c:pt>
                <c:pt idx="69">
                  <c:v>14.153846153846153</c:v>
                </c:pt>
                <c:pt idx="70">
                  <c:v>14.736842105263158</c:v>
                </c:pt>
                <c:pt idx="71">
                  <c:v>15.351351351351354</c:v>
                </c:pt>
                <c:pt idx="72">
                  <c:v>16.000000000000004</c:v>
                </c:pt>
                <c:pt idx="73">
                  <c:v>16.685714285714287</c:v>
                </c:pt>
                <c:pt idx="74">
                  <c:v>17.411764705882355</c:v>
                </c:pt>
                <c:pt idx="75">
                  <c:v>18.181818181818187</c:v>
                </c:pt>
                <c:pt idx="76">
                  <c:v>19.000000000000004</c:v>
                </c:pt>
                <c:pt idx="77">
                  <c:v>19.870967741935484</c:v>
                </c:pt>
                <c:pt idx="78">
                  <c:v>20.8</c:v>
                </c:pt>
                <c:pt idx="79">
                  <c:v>21.793103448275865</c:v>
                </c:pt>
                <c:pt idx="80">
                  <c:v>22.857142857142858</c:v>
                </c:pt>
                <c:pt idx="81">
                  <c:v>24</c:v>
                </c:pt>
                <c:pt idx="82">
                  <c:v>25.23076923076923</c:v>
                </c:pt>
                <c:pt idx="83">
                  <c:v>26.560000000000006</c:v>
                </c:pt>
                <c:pt idx="84">
                  <c:v>28</c:v>
                </c:pt>
                <c:pt idx="85">
                  <c:v>29.565217391304348</c:v>
                </c:pt>
                <c:pt idx="86">
                  <c:v>31.272727272727273</c:v>
                </c:pt>
                <c:pt idx="87">
                  <c:v>33.142857142857146</c:v>
                </c:pt>
                <c:pt idx="88">
                  <c:v>35.200000000000003</c:v>
                </c:pt>
                <c:pt idx="89">
                  <c:v>37.473684210526322</c:v>
                </c:pt>
                <c:pt idx="90">
                  <c:v>40.000000000000007</c:v>
                </c:pt>
                <c:pt idx="91">
                  <c:v>42.82352941176471</c:v>
                </c:pt>
                <c:pt idx="92">
                  <c:v>46.000000000000007</c:v>
                </c:pt>
                <c:pt idx="93">
                  <c:v>49.6</c:v>
                </c:pt>
                <c:pt idx="94">
                  <c:v>53.714285714285715</c:v>
                </c:pt>
                <c:pt idx="95">
                  <c:v>58.46153846153846</c:v>
                </c:pt>
                <c:pt idx="96">
                  <c:v>64</c:v>
                </c:pt>
                <c:pt idx="97">
                  <c:v>70.545454545454547</c:v>
                </c:pt>
                <c:pt idx="98">
                  <c:v>78.399999999999991</c:v>
                </c:pt>
                <c:pt idx="99">
                  <c:v>88.000000000000014</c:v>
                </c:pt>
                <c:pt idx="100">
                  <c:v>100</c:v>
                </c:pt>
              </c:numCache>
            </c:numRef>
          </c:yVal>
          <c:smooth val="1"/>
        </c:ser>
        <c:ser>
          <c:idx val="1"/>
          <c:order val="1"/>
          <c:tx>
            <c:strRef>
              <c:f>Diagram!$C$7</c:f>
              <c:strCache>
                <c:ptCount val="1"/>
                <c:pt idx="0">
                  <c:v>Ke1</c:v>
                </c:pt>
              </c:strCache>
            </c:strRef>
          </c:tx>
          <c:spPr>
            <a:ln w="25400" cap="rnd">
              <a:solidFill>
                <a:schemeClr val="bg1">
                  <a:lumMod val="50000"/>
                </a:schemeClr>
              </a:solidFill>
              <a:prstDash val="sysDash"/>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Diagram!$C$8:$C$108</c:f>
              <c:numCache>
                <c:formatCode>0.00</c:formatCode>
                <c:ptCount val="101"/>
                <c:pt idx="0">
                  <c:v>0</c:v>
                </c:pt>
                <c:pt idx="1">
                  <c:v>0.11043622308117065</c:v>
                </c:pt>
                <c:pt idx="2">
                  <c:v>0.22396416573348271</c:v>
                </c:pt>
                <c:pt idx="3">
                  <c:v>0.34071550255536631</c:v>
                </c:pt>
                <c:pt idx="4">
                  <c:v>0.46082949308755772</c:v>
                </c:pt>
                <c:pt idx="5">
                  <c:v>0.58445353594389249</c:v>
                </c:pt>
                <c:pt idx="6">
                  <c:v>0.71174377224199281</c:v>
                </c:pt>
                <c:pt idx="7">
                  <c:v>0.84286574352799515</c:v>
                </c:pt>
                <c:pt idx="8">
                  <c:v>0.97799511002444994</c:v>
                </c:pt>
                <c:pt idx="9">
                  <c:v>1.1173184357541899</c:v>
                </c:pt>
                <c:pt idx="10">
                  <c:v>1.2610340479192941</c:v>
                </c:pt>
                <c:pt idx="11">
                  <c:v>1.4093529788597055</c:v>
                </c:pt>
                <c:pt idx="12">
                  <c:v>1.5625</c:v>
                </c:pt>
                <c:pt idx="13">
                  <c:v>1.7207147584381208</c:v>
                </c:pt>
                <c:pt idx="14">
                  <c:v>1.8842530282637955</c:v>
                </c:pt>
                <c:pt idx="15">
                  <c:v>2.0533880903490762</c:v>
                </c:pt>
                <c:pt idx="16">
                  <c:v>2.2284122562674096</c:v>
                </c:pt>
                <c:pt idx="17">
                  <c:v>2.4096385542168677</c:v>
                </c:pt>
                <c:pt idx="18">
                  <c:v>2.5974025974025978</c:v>
                </c:pt>
                <c:pt idx="19">
                  <c:v>2.7920646583394566</c:v>
                </c:pt>
                <c:pt idx="20">
                  <c:v>2.9940119760479043</c:v>
                </c:pt>
                <c:pt idx="21">
                  <c:v>3.2036613272311216</c:v>
                </c:pt>
                <c:pt idx="22">
                  <c:v>3.4214618973561435</c:v>
                </c:pt>
                <c:pt idx="23">
                  <c:v>3.6478984932593184</c:v>
                </c:pt>
                <c:pt idx="24">
                  <c:v>3.883495145631068</c:v>
                </c:pt>
                <c:pt idx="25">
                  <c:v>4.1288191577208924</c:v>
                </c:pt>
                <c:pt idx="26">
                  <c:v>4.3844856661045544</c:v>
                </c:pt>
                <c:pt idx="27">
                  <c:v>4.6511627906976756</c:v>
                </c:pt>
                <c:pt idx="28">
                  <c:v>4.9295774647887329</c:v>
                </c:pt>
                <c:pt idx="29">
                  <c:v>5.2205220522052205</c:v>
                </c:pt>
                <c:pt idx="30">
                  <c:v>5.5248618784530388</c:v>
                </c:pt>
                <c:pt idx="31">
                  <c:v>5.843543826578701</c:v>
                </c:pt>
                <c:pt idx="32">
                  <c:v>6.1776061776061786</c:v>
                </c:pt>
                <c:pt idx="33">
                  <c:v>6.5281899109792292</c:v>
                </c:pt>
                <c:pt idx="34">
                  <c:v>6.8965517241379333</c:v>
                </c:pt>
                <c:pt idx="35">
                  <c:v>7.2840790842872023</c:v>
                </c:pt>
                <c:pt idx="36">
                  <c:v>7.6923076923076925</c:v>
                </c:pt>
                <c:pt idx="37">
                  <c:v>8.122941822173436</c:v>
                </c:pt>
                <c:pt idx="38">
                  <c:v>8.5778781038374721</c:v>
                </c:pt>
                <c:pt idx="39">
                  <c:v>9.0592334494773539</c:v>
                </c:pt>
                <c:pt idx="40">
                  <c:v>9.5693779904306222</c:v>
                </c:pt>
                <c:pt idx="41">
                  <c:v>10.110974106041924</c:v>
                </c:pt>
                <c:pt idx="42">
                  <c:v>10.68702290076336</c:v>
                </c:pt>
                <c:pt idx="43">
                  <c:v>11.300919842312748</c:v>
                </c:pt>
                <c:pt idx="44">
                  <c:v>11.956521739130435</c:v>
                </c:pt>
                <c:pt idx="45">
                  <c:v>12.658227848101266</c:v>
                </c:pt>
                <c:pt idx="46">
                  <c:v>13.411078717201168</c:v>
                </c:pt>
                <c:pt idx="47">
                  <c:v>14.220877458396371</c:v>
                </c:pt>
                <c:pt idx="48">
                  <c:v>15.094339622641511</c:v>
                </c:pt>
                <c:pt idx="49">
                  <c:v>16.039279869067101</c:v>
                </c:pt>
                <c:pt idx="50">
                  <c:v>17.064846416382256</c:v>
                </c:pt>
                <c:pt idx="51">
                  <c:v>18.181818181818187</c:v>
                </c:pt>
                <c:pt idx="52">
                  <c:v>19.402985074626869</c:v>
                </c:pt>
                <c:pt idx="53">
                  <c:v>20.743639921722114</c:v>
                </c:pt>
                <c:pt idx="54">
                  <c:v>22.222222222222225</c:v>
                </c:pt>
                <c:pt idx="55">
                  <c:v>23.861171366594366</c:v>
                </c:pt>
                <c:pt idx="56">
                  <c:v>25.688073394495415</c:v>
                </c:pt>
                <c:pt idx="57">
                  <c:v>27.737226277372265</c:v>
                </c:pt>
                <c:pt idx="58">
                  <c:v>30.051813471502591</c:v>
                </c:pt>
                <c:pt idx="59">
                  <c:v>32.686980609418285</c:v>
                </c:pt>
                <c:pt idx="60">
                  <c:v>35.714285714285715</c:v>
                </c:pt>
                <c:pt idx="61">
                  <c:v>39.228295819935688</c:v>
                </c:pt>
                <c:pt idx="62">
                  <c:v>43.35664335664336</c:v>
                </c:pt>
                <c:pt idx="63">
                  <c:v>48.275862068965523</c:v>
                </c:pt>
                <c:pt idx="64">
                  <c:v>54.237288135593225</c:v>
                </c:pt>
                <c:pt idx="65">
                  <c:v>61.611374407582943</c:v>
                </c:pt>
                <c:pt idx="66">
                  <c:v>70.967741935483872</c:v>
                </c:pt>
                <c:pt idx="67">
                  <c:v>83.229813664596278</c:v>
                </c:pt>
                <c:pt idx="68">
                  <c:v>100</c:v>
                </c:pt>
                <c:pt idx="69">
                  <c:v>100</c:v>
                </c:pt>
                <c:pt idx="70">
                  <c:v>100</c:v>
                </c:pt>
                <c:pt idx="71">
                  <c:v>100</c:v>
                </c:pt>
                <c:pt idx="72">
                  <c:v>99.999999999999986</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99.999999999999986</c:v>
                </c:pt>
                <c:pt idx="87">
                  <c:v>100.00000000000001</c:v>
                </c:pt>
                <c:pt idx="88">
                  <c:v>100</c:v>
                </c:pt>
                <c:pt idx="89">
                  <c:v>100</c:v>
                </c:pt>
                <c:pt idx="90">
                  <c:v>100</c:v>
                </c:pt>
                <c:pt idx="91">
                  <c:v>100</c:v>
                </c:pt>
                <c:pt idx="92">
                  <c:v>100</c:v>
                </c:pt>
                <c:pt idx="93">
                  <c:v>100</c:v>
                </c:pt>
                <c:pt idx="94">
                  <c:v>100</c:v>
                </c:pt>
                <c:pt idx="95">
                  <c:v>100</c:v>
                </c:pt>
                <c:pt idx="96">
                  <c:v>100</c:v>
                </c:pt>
                <c:pt idx="97">
                  <c:v>100</c:v>
                </c:pt>
                <c:pt idx="98">
                  <c:v>100</c:v>
                </c:pt>
                <c:pt idx="99">
                  <c:v>100.00000000000001</c:v>
                </c:pt>
                <c:pt idx="100">
                  <c:v>100</c:v>
                </c:pt>
              </c:numCache>
            </c:numRef>
          </c:yVal>
          <c:smooth val="1"/>
        </c:ser>
        <c:ser>
          <c:idx val="2"/>
          <c:order val="2"/>
          <c:tx>
            <c:strRef>
              <c:f>Diagram!$D$7</c:f>
              <c:strCache>
                <c:ptCount val="1"/>
                <c:pt idx="0">
                  <c:v>x10</c:v>
                </c:pt>
              </c:strCache>
            </c:strRef>
          </c:tx>
          <c:spPr>
            <a:ln w="25400" cap="rnd">
              <a:solidFill>
                <a:schemeClr val="accent5">
                  <a:lumMod val="75000"/>
                </a:schemeClr>
              </a:solidFill>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Diagram!$D$8:$D$108</c:f>
              <c:numCache>
                <c:formatCode>0.00</c:formatCode>
                <c:ptCount val="101"/>
                <c:pt idx="1">
                  <c:v>5.8300409588660204E+18</c:v>
                </c:pt>
                <c:pt idx="2">
                  <c:v>1.1386798747785192E+16</c:v>
                </c:pt>
                <c:pt idx="3">
                  <c:v>296196766695423.19</c:v>
                </c:pt>
                <c:pt idx="4">
                  <c:v>22239841304267.98</c:v>
                </c:pt>
                <c:pt idx="5">
                  <c:v>2984980970939.4033</c:v>
                </c:pt>
                <c:pt idx="6">
                  <c:v>578509309951.99768</c:v>
                </c:pt>
                <c:pt idx="7">
                  <c:v>144473849855.99963</c:v>
                </c:pt>
                <c:pt idx="8">
                  <c:v>43437190047.398415</c:v>
                </c:pt>
                <c:pt idx="9">
                  <c:v>15048354757.680374</c:v>
                </c:pt>
                <c:pt idx="10">
                  <c:v>5830040958.8659973</c:v>
                </c:pt>
                <c:pt idx="11">
                  <c:v>2472506485.6691165</c:v>
                </c:pt>
                <c:pt idx="12">
                  <c:v>1129900995.9999976</c:v>
                </c:pt>
                <c:pt idx="13">
                  <c:v>549770503.42516029</c:v>
                </c:pt>
                <c:pt idx="14">
                  <c:v>282175488.00000048</c:v>
                </c:pt>
                <c:pt idx="15">
                  <c:v>151652744.54805663</c:v>
                </c:pt>
                <c:pt idx="16">
                  <c:v>84838261.811324969</c:v>
                </c:pt>
                <c:pt idx="17">
                  <c:v>49162200.48019404</c:v>
                </c:pt>
                <c:pt idx="18">
                  <c:v>29391317.886094514</c:v>
                </c:pt>
                <c:pt idx="19">
                  <c:v>18067131.158061247</c:v>
                </c:pt>
                <c:pt idx="20">
                  <c:v>11386798.747785203</c:v>
                </c:pt>
                <c:pt idx="21">
                  <c:v>7340031.9999999879</c:v>
                </c:pt>
                <c:pt idx="22">
                  <c:v>4829114.2298224885</c:v>
                </c:pt>
                <c:pt idx="23">
                  <c:v>3236838.8774611251</c:v>
                </c:pt>
                <c:pt idx="24">
                  <c:v>2206837.8828124921</c:v>
                </c:pt>
                <c:pt idx="25">
                  <c:v>1528310.2571209737</c:v>
                </c:pt>
                <c:pt idx="26">
                  <c:v>1073770.5145022636</c:v>
                </c:pt>
                <c:pt idx="27">
                  <c:v>764535.62758118124</c:v>
                </c:pt>
                <c:pt idx="28">
                  <c:v>551123.99999999988</c:v>
                </c:pt>
                <c:pt idx="29">
                  <c:v>401873.73647191649</c:v>
                </c:pt>
                <c:pt idx="30">
                  <c:v>296196.76669542264</c:v>
                </c:pt>
                <c:pt idx="31">
                  <c:v>220503.94379456065</c:v>
                </c:pt>
                <c:pt idx="32">
                  <c:v>165699.73010024423</c:v>
                </c:pt>
                <c:pt idx="33">
                  <c:v>125616.34332515972</c:v>
                </c:pt>
                <c:pt idx="34">
                  <c:v>96019.922812878838</c:v>
                </c:pt>
                <c:pt idx="35">
                  <c:v>73970.61112627211</c:v>
                </c:pt>
                <c:pt idx="36">
                  <c:v>57404.91774627829</c:v>
                </c:pt>
                <c:pt idx="37">
                  <c:v>44859.671531473847</c:v>
                </c:pt>
                <c:pt idx="38">
                  <c:v>35287.36554308841</c:v>
                </c:pt>
                <c:pt idx="39">
                  <c:v>27931.235249970145</c:v>
                </c:pt>
                <c:pt idx="40">
                  <c:v>22239.841304267935</c:v>
                </c:pt>
                <c:pt idx="41">
                  <c:v>17808.071693566086</c:v>
                </c:pt>
                <c:pt idx="42">
                  <c:v>14335.999999999947</c:v>
                </c:pt>
                <c:pt idx="43">
                  <c:v>11599.933664760358</c:v>
                </c:pt>
                <c:pt idx="44">
                  <c:v>9431.8637301220861</c:v>
                </c:pt>
                <c:pt idx="45">
                  <c:v>7704.7576359323812</c:v>
                </c:pt>
                <c:pt idx="46">
                  <c:v>6321.9509325412555</c:v>
                </c:pt>
                <c:pt idx="47">
                  <c:v>5209.4381298566113</c:v>
                </c:pt>
                <c:pt idx="48">
                  <c:v>4310.2302398681522</c:v>
                </c:pt>
                <c:pt idx="49">
                  <c:v>3580.1966812037313</c:v>
                </c:pt>
                <c:pt idx="50">
                  <c:v>2984.9809709394031</c:v>
                </c:pt>
                <c:pt idx="51">
                  <c:v>2497.6985459632251</c:v>
                </c:pt>
                <c:pt idx="52">
                  <c:v>2097.2080361372359</c:v>
                </c:pt>
                <c:pt idx="53">
                  <c:v>1766.8056503653916</c:v>
                </c:pt>
                <c:pt idx="54">
                  <c:v>1493.2336476194951</c:v>
                </c:pt>
                <c:pt idx="55">
                  <c:v>1265.9233206625854</c:v>
                </c:pt>
                <c:pt idx="56">
                  <c:v>1076.4140624999945</c:v>
                </c:pt>
                <c:pt idx="57">
                  <c:v>917.90535782457926</c:v>
                </c:pt>
                <c:pt idx="58">
                  <c:v>784.90964154671462</c:v>
                </c:pt>
                <c:pt idx="59">
                  <c:v>672.9820815925558</c:v>
                </c:pt>
                <c:pt idx="60">
                  <c:v>578.50930995199872</c:v>
                </c:pt>
                <c:pt idx="61">
                  <c:v>498.5435373035495</c:v>
                </c:pt>
                <c:pt idx="62">
                  <c:v>430.67176522375166</c:v>
                </c:pt>
                <c:pt idx="63">
                  <c:v>372.91225931006375</c:v>
                </c:pt>
                <c:pt idx="64">
                  <c:v>323.63228535204007</c:v>
                </c:pt>
                <c:pt idx="65">
                  <c:v>281.48249775368248</c:v>
                </c:pt>
                <c:pt idx="66">
                  <c:v>245.34442055695314</c:v>
                </c:pt>
                <c:pt idx="67">
                  <c:v>214.28826156042791</c:v>
                </c:pt>
                <c:pt idx="68">
                  <c:v>187.53891174390404</c:v>
                </c:pt>
                <c:pt idx="69">
                  <c:v>164.44845183463443</c:v>
                </c:pt>
                <c:pt idx="70">
                  <c:v>144.47384985599939</c:v>
                </c:pt>
                <c:pt idx="71">
                  <c:v>127.15881364731425</c:v>
                </c:pt>
                <c:pt idx="72">
                  <c:v>112.1189799731998</c:v>
                </c:pt>
                <c:pt idx="73">
                  <c:v>99.029791531799589</c:v>
                </c:pt>
                <c:pt idx="74">
                  <c:v>87.616545959909445</c:v>
                </c:pt>
                <c:pt idx="75">
                  <c:v>77.646205208605025</c:v>
                </c:pt>
                <c:pt idx="76">
                  <c:v>68.920635826344466</c:v>
                </c:pt>
                <c:pt idx="77">
                  <c:v>61.271015641033131</c:v>
                </c:pt>
                <c:pt idx="78">
                  <c:v>54.553193847597939</c:v>
                </c:pt>
                <c:pt idx="79">
                  <c:v>48.643832491905378</c:v>
                </c:pt>
                <c:pt idx="80">
                  <c:v>43.437190047398524</c:v>
                </c:pt>
                <c:pt idx="81">
                  <c:v>38.842433957281841</c:v>
                </c:pt>
                <c:pt idx="82">
                  <c:v>34.781390026496219</c:v>
                </c:pt>
                <c:pt idx="83">
                  <c:v>31.186653460606028</c:v>
                </c:pt>
                <c:pt idx="84">
                  <c:v>27.999999999999993</c:v>
                </c:pt>
                <c:pt idx="85">
                  <c:v>25.171046645859391</c:v>
                </c:pt>
                <c:pt idx="86">
                  <c:v>22.65612043898517</c:v>
                </c:pt>
                <c:pt idx="87">
                  <c:v>20.417301045161626</c:v>
                </c:pt>
                <c:pt idx="88">
                  <c:v>18.421608847894525</c:v>
                </c:pt>
                <c:pt idx="89">
                  <c:v>16.640315111047801</c:v>
                </c:pt>
                <c:pt idx="90">
                  <c:v>15.048354757680352</c:v>
                </c:pt>
                <c:pt idx="91">
                  <c:v>13.623825583303123</c:v>
                </c:pt>
                <c:pt idx="92">
                  <c:v>12.34756041511957</c:v>
                </c:pt>
                <c:pt idx="93">
                  <c:v>11.202760950798099</c:v>
                </c:pt>
                <c:pt idx="94">
                  <c:v>10.17468384737621</c:v>
                </c:pt>
                <c:pt idx="95">
                  <c:v>9.2503711529273875</c:v>
                </c:pt>
                <c:pt idx="96">
                  <c:v>8.4184184372424635</c:v>
                </c:pt>
                <c:pt idx="97">
                  <c:v>7.6687750289811492</c:v>
                </c:pt>
                <c:pt idx="98">
                  <c:v>6.9925716429760376</c:v>
                </c:pt>
                <c:pt idx="99">
                  <c:v>6.3819714131565402</c:v>
                </c:pt>
                <c:pt idx="100">
                  <c:v>5.8300409588659816</c:v>
                </c:pt>
              </c:numCache>
            </c:numRef>
          </c:yVal>
          <c:smooth val="1"/>
        </c:ser>
        <c:ser>
          <c:idx val="3"/>
          <c:order val="3"/>
          <c:tx>
            <c:strRef>
              <c:f>Diagram!$E$7</c:f>
              <c:strCache>
                <c:ptCount val="1"/>
                <c:pt idx="0">
                  <c:v>Kq11</c:v>
                </c:pt>
              </c:strCache>
            </c:strRef>
          </c:tx>
          <c:spPr>
            <a:ln w="25400" cap="rnd">
              <a:solidFill>
                <a:schemeClr val="accent2">
                  <a:lumMod val="75000"/>
                </a:schemeClr>
              </a:solidFill>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Diagram!$E$8:$E$108</c:f>
              <c:numCache>
                <c:formatCode>0.00</c:formatCode>
                <c:ptCount val="101"/>
                <c:pt idx="1">
                  <c:v>78.6373222922183</c:v>
                </c:pt>
                <c:pt idx="2">
                  <c:v>78.492243990069085</c:v>
                </c:pt>
                <c:pt idx="3">
                  <c:v>78.344677189965168</c:v>
                </c:pt>
                <c:pt idx="4">
                  <c:v>78.194552886014336</c:v>
                </c:pt>
                <c:pt idx="5">
                  <c:v>78.041799413566096</c:v>
                </c:pt>
                <c:pt idx="6">
                  <c:v>77.886342317448012</c:v>
                </c:pt>
                <c:pt idx="7">
                  <c:v>77.728104212187446</c:v>
                </c:pt>
                <c:pt idx="8">
                  <c:v>77.567004633639314</c:v>
                </c:pt>
                <c:pt idx="9">
                  <c:v>77.402959881391126</c:v>
                </c:pt>
                <c:pt idx="10">
                  <c:v>77.235882851263611</c:v>
                </c:pt>
                <c:pt idx="11">
                  <c:v>77.065682857166109</c:v>
                </c:pt>
                <c:pt idx="12">
                  <c:v>76.892265441502147</c:v>
                </c:pt>
                <c:pt idx="13">
                  <c:v>76.71553217324913</c:v>
                </c:pt>
                <c:pt idx="14">
                  <c:v>76.535380432758686</c:v>
                </c:pt>
                <c:pt idx="15">
                  <c:v>76.35170318223814</c:v>
                </c:pt>
                <c:pt idx="16">
                  <c:v>76.164388720778632</c:v>
                </c:pt>
                <c:pt idx="17">
                  <c:v>75.973320422691742</c:v>
                </c:pt>
                <c:pt idx="18">
                  <c:v>75.778376457799382</c:v>
                </c:pt>
                <c:pt idx="19">
                  <c:v>75.579429492195615</c:v>
                </c:pt>
                <c:pt idx="20">
                  <c:v>75.376346367855575</c:v>
                </c:pt>
                <c:pt idx="21">
                  <c:v>75.16898775931071</c:v>
                </c:pt>
                <c:pt idx="22">
                  <c:v>74.957207805433868</c:v>
                </c:pt>
                <c:pt idx="23">
                  <c:v>74.740853714184169</c:v>
                </c:pt>
                <c:pt idx="24">
                  <c:v>74.519765337944719</c:v>
                </c:pt>
                <c:pt idx="25">
                  <c:v>74.293774716844695</c:v>
                </c:pt>
                <c:pt idx="26">
                  <c:v>74.062705587188276</c:v>
                </c:pt>
                <c:pt idx="27">
                  <c:v>73.826372851810433</c:v>
                </c:pt>
                <c:pt idx="28">
                  <c:v>73.584582008842986</c:v>
                </c:pt>
                <c:pt idx="29">
                  <c:v>73.337128534994093</c:v>
                </c:pt>
                <c:pt idx="30">
                  <c:v>73.08379721901963</c:v>
                </c:pt>
                <c:pt idx="31">
                  <c:v>72.824361440585349</c:v>
                </c:pt>
                <c:pt idx="32">
                  <c:v>72.55858238917898</c:v>
                </c:pt>
                <c:pt idx="33">
                  <c:v>72.286208217121342</c:v>
                </c:pt>
                <c:pt idx="34">
                  <c:v>72.006973120036434</c:v>
                </c:pt>
                <c:pt idx="35">
                  <c:v>71.720596337359197</c:v>
                </c:pt>
                <c:pt idx="36">
                  <c:v>71.426781064572424</c:v>
                </c:pt>
                <c:pt idx="37">
                  <c:v>71.125213267856552</c:v>
                </c:pt>
                <c:pt idx="38">
                  <c:v>70.815560390686443</c:v>
                </c:pt>
                <c:pt idx="39">
                  <c:v>70.497469940597426</c:v>
                </c:pt>
                <c:pt idx="40">
                  <c:v>70.170567942842979</c:v>
                </c:pt>
                <c:pt idx="41">
                  <c:v>69.834457245944009</c:v>
                </c:pt>
                <c:pt idx="42">
                  <c:v>69.488715662154377</c:v>
                </c:pt>
                <c:pt idx="43">
                  <c:v>69.132893923589378</c:v>
                </c:pt>
                <c:pt idx="44">
                  <c:v>68.766513432136065</c:v>
                </c:pt>
                <c:pt idx="45">
                  <c:v>68.389063778223061</c:v>
                </c:pt>
                <c:pt idx="46">
                  <c:v>68</c:v>
                </c:pt>
                <c:pt idx="47">
                  <c:v>67.598739550373921</c:v>
                </c:pt>
                <c:pt idx="48">
                  <c:v>67.18465893456451</c:v>
                </c:pt>
                <c:pt idx="49">
                  <c:v>66.757089975247055</c:v>
                </c:pt>
                <c:pt idx="50">
                  <c:v>66.315315655787799</c:v>
                </c:pt>
                <c:pt idx="51">
                  <c:v>65.858565484360298</c:v>
                </c:pt>
                <c:pt idx="52">
                  <c:v>65.386010312622219</c:v>
                </c:pt>
                <c:pt idx="53">
                  <c:v>64.896756531852333</c:v>
                </c:pt>
                <c:pt idx="54">
                  <c:v>64.389839556641277</c:v>
                </c:pt>
                <c:pt idx="55">
                  <c:v>63.864216490968523</c:v>
                </c:pt>
                <c:pt idx="56">
                  <c:v>63.318757853238601</c:v>
                </c:pt>
                <c:pt idx="57">
                  <c:v>62.75223821492758</c:v>
                </c:pt>
                <c:pt idx="58">
                  <c:v>62.163325581058942</c:v>
                </c:pt>
                <c:pt idx="59">
                  <c:v>61.550569308733003</c:v>
                </c:pt>
                <c:pt idx="60">
                  <c:v>60.91238632103336</c:v>
                </c:pt>
                <c:pt idx="61">
                  <c:v>60.247045326124692</c:v>
                </c:pt>
                <c:pt idx="62">
                  <c:v>59.552648693056838</c:v>
                </c:pt>
                <c:pt idx="63">
                  <c:v>58.827111563893773</c:v>
                </c:pt>
                <c:pt idx="64">
                  <c:v>58.068137692657679</c:v>
                </c:pt>
                <c:pt idx="65">
                  <c:v>57.27319139048236</c:v>
                </c:pt>
                <c:pt idx="66">
                  <c:v>56.43946481708403</c:v>
                </c:pt>
                <c:pt idx="67">
                  <c:v>55.563839682971746</c:v>
                </c:pt>
                <c:pt idx="68">
                  <c:v>54.642842203784582</c:v>
                </c:pt>
                <c:pt idx="69">
                  <c:v>53.672589863073249</c:v>
                </c:pt>
                <c:pt idx="70">
                  <c:v>52.648728172854987</c:v>
                </c:pt>
                <c:pt idx="71">
                  <c:v>51.566355145203005</c:v>
                </c:pt>
                <c:pt idx="72">
                  <c:v>50.419930565538124</c:v>
                </c:pt>
                <c:pt idx="73">
                  <c:v>49.20316633701767</c:v>
                </c:pt>
                <c:pt idx="74">
                  <c:v>47.908893072032456</c:v>
                </c:pt>
                <c:pt idx="75">
                  <c:v>46.528896636780807</c:v>
                </c:pt>
                <c:pt idx="76">
                  <c:v>45.053716357440109</c:v>
                </c:pt>
                <c:pt idx="77">
                  <c:v>43.472393851456019</c:v>
                </c:pt>
                <c:pt idx="78">
                  <c:v>41.772157628730675</c:v>
                </c:pt>
                <c:pt idx="79">
                  <c:v>39.938023224394684</c:v>
                </c:pt>
                <c:pt idx="80">
                  <c:v>37.952280927081745</c:v>
                </c:pt>
                <c:pt idx="81">
                  <c:v>35.793831986031122</c:v>
                </c:pt>
                <c:pt idx="82">
                  <c:v>33.437317662339083</c:v>
                </c:pt>
                <c:pt idx="83">
                  <c:v>30.851960626341409</c:v>
                </c:pt>
                <c:pt idx="84">
                  <c:v>28</c:v>
                </c:pt>
                <c:pt idx="85">
                  <c:v>24.834541289557848</c:v>
                </c:pt>
                <c:pt idx="86">
                  <c:v>21.296545623078813</c:v>
                </c:pt>
                <c:pt idx="87">
                  <c:v>17.310522064356334</c:v>
                </c:pt>
                <c:pt idx="88">
                  <c:v>12.778211544057328</c:v>
                </c:pt>
                <c:pt idx="89">
                  <c:v>7.5690617660086303</c:v>
                </c:pt>
                <c:pt idx="90">
                  <c:v>1.5053854714223007</c:v>
                </c:pt>
                <c:pt idx="91">
                  <c:v>-5.66167196462807</c:v>
                </c:pt>
                <c:pt idx="92">
                  <c:v>-14.292875741710304</c:v>
                </c:pt>
                <c:pt idx="93">
                  <c:v>-24.93394627145581</c:v>
                </c:pt>
                <c:pt idx="94">
                  <c:v>-38.455958749511069</c:v>
                </c:pt>
                <c:pt idx="95">
                  <c:v>-56.35045471586659</c:v>
                </c:pt>
                <c:pt idx="96">
                  <c:v>-81.4286311848617</c:v>
                </c:pt>
                <c:pt idx="97">
                  <c:v>-119.78513457023959</c:v>
                </c:pt>
                <c:pt idx="98">
                  <c:v>-188.00000000000006</c:v>
                </c:pt>
                <c:pt idx="99">
                  <c:v>-357.17150296684127</c:v>
                </c:pt>
                <c:pt idx="100">
                  <c:v>0</c:v>
                </c:pt>
              </c:numCache>
            </c:numRef>
          </c:yVal>
          <c:smooth val="1"/>
        </c:ser>
        <c:ser>
          <c:idx val="4"/>
          <c:order val="4"/>
          <c:tx>
            <c:strRef>
              <c:f>Diagram!$F$7</c:f>
              <c:strCache>
                <c:ptCount val="1"/>
                <c:pt idx="0">
                  <c:v>Kq20</c:v>
                </c:pt>
              </c:strCache>
            </c:strRef>
          </c:tx>
          <c:spPr>
            <a:ln w="25400" cap="rnd">
              <a:solidFill>
                <a:schemeClr val="accent5">
                  <a:lumMod val="75000"/>
                </a:schemeClr>
              </a:solidFill>
              <a:prstDash val="sysDash"/>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Diagram!$F$8:$F$108</c:f>
              <c:numCache>
                <c:formatCode>0.00</c:formatCode>
                <c:ptCount val="101"/>
                <c:pt idx="1">
                  <c:v>1.8123906802056166E+17</c:v>
                </c:pt>
                <c:pt idx="2">
                  <c:v>353982554727659.5</c:v>
                </c:pt>
                <c:pt idx="3">
                  <c:v>9207898593738.8262</c:v>
                </c:pt>
                <c:pt idx="4">
                  <c:v>691372177202.45959</c:v>
                </c:pt>
                <c:pt idx="5">
                  <c:v>92794402826.527512</c:v>
                </c:pt>
                <c:pt idx="6">
                  <c:v>17984176940.896152</c:v>
                </c:pt>
                <c:pt idx="7">
                  <c:v>4491273060.6848011</c:v>
                </c:pt>
                <c:pt idx="8">
                  <c:v>1350336283.5985579</c:v>
                </c:pt>
                <c:pt idx="9">
                  <c:v>467809713.64826596</c:v>
                </c:pt>
                <c:pt idx="10">
                  <c:v>181239068.0205611</c:v>
                </c:pt>
                <c:pt idx="11">
                  <c:v>76863057.103568971</c:v>
                </c:pt>
                <c:pt idx="12">
                  <c:v>35125345.587687828</c:v>
                </c:pt>
                <c:pt idx="13">
                  <c:v>17090770.779996645</c:v>
                </c:pt>
                <c:pt idx="14">
                  <c:v>8772017.6966500338</c:v>
                </c:pt>
                <c:pt idx="15">
                  <c:v>4714444.079994278</c:v>
                </c:pt>
                <c:pt idx="16">
                  <c:v>2637375.553903427</c:v>
                </c:pt>
                <c:pt idx="17">
                  <c:v>1528310.2571209795</c:v>
                </c:pt>
                <c:pt idx="18">
                  <c:v>913690.84696927143</c:v>
                </c:pt>
                <c:pt idx="19">
                  <c:v>561654.7183794016</c:v>
                </c:pt>
                <c:pt idx="20">
                  <c:v>353982.55472765991</c:v>
                </c:pt>
                <c:pt idx="21">
                  <c:v>228180.31096300381</c:v>
                </c:pt>
                <c:pt idx="22">
                  <c:v>150123.15840540803</c:v>
                </c:pt>
                <c:pt idx="23">
                  <c:v>100623.93482701728</c:v>
                </c:pt>
                <c:pt idx="24">
                  <c:v>68604.190600952643</c:v>
                </c:pt>
                <c:pt idx="25">
                  <c:v>47510.734247182125</c:v>
                </c:pt>
                <c:pt idx="26">
                  <c:v>33380.411679680903</c:v>
                </c:pt>
                <c:pt idx="27">
                  <c:v>23767.195734810073</c:v>
                </c:pt>
                <c:pt idx="28">
                  <c:v>17132.84706376955</c:v>
                </c:pt>
                <c:pt idx="29">
                  <c:v>12493.089152203456</c:v>
                </c:pt>
                <c:pt idx="30">
                  <c:v>9207.8985937388115</c:v>
                </c:pt>
                <c:pt idx="31">
                  <c:v>6854.82821649982</c:v>
                </c:pt>
                <c:pt idx="32">
                  <c:v>5151.1241287176344</c:v>
                </c:pt>
                <c:pt idx="33">
                  <c:v>3905.0478638199916</c:v>
                </c:pt>
                <c:pt idx="34">
                  <c:v>2984.980970939414</c:v>
                </c:pt>
                <c:pt idx="35">
                  <c:v>2299.5318070706226</c:v>
                </c:pt>
                <c:pt idx="36">
                  <c:v>1784.5524354868546</c:v>
                </c:pt>
                <c:pt idx="37">
                  <c:v>1394.5571081638241</c:v>
                </c:pt>
                <c:pt idx="38">
                  <c:v>1096.9818718347683</c:v>
                </c:pt>
                <c:pt idx="39">
                  <c:v>868.3011116189964</c:v>
                </c:pt>
                <c:pt idx="40">
                  <c:v>691.37217720245917</c:v>
                </c:pt>
                <c:pt idx="41">
                  <c:v>553.60131082390069</c:v>
                </c:pt>
                <c:pt idx="42">
                  <c:v>445.6646698496159</c:v>
                </c:pt>
                <c:pt idx="43">
                  <c:v>360.60830126833753</c:v>
                </c:pt>
                <c:pt idx="44">
                  <c:v>293.20929376056353</c:v>
                </c:pt>
                <c:pt idx="45">
                  <c:v>239.51857338791342</c:v>
                </c:pt>
                <c:pt idx="46">
                  <c:v>196.53112270901769</c:v>
                </c:pt>
                <c:pt idx="47">
                  <c:v>161.946325630898</c:v>
                </c:pt>
                <c:pt idx="48">
                  <c:v>133.99255976748569</c:v>
                </c:pt>
                <c:pt idx="49">
                  <c:v>111.29793330952538</c:v>
                </c:pt>
                <c:pt idx="50">
                  <c:v>92.794402826527588</c:v>
                </c:pt>
                <c:pt idx="51">
                  <c:v>77.646205208605593</c:v>
                </c:pt>
                <c:pt idx="52">
                  <c:v>65.196116561876693</c:v>
                </c:pt>
                <c:pt idx="53">
                  <c:v>54.924864457207761</c:v>
                </c:pt>
                <c:pt idx="54">
                  <c:v>46.420304169550846</c:v>
                </c:pt>
                <c:pt idx="55">
                  <c:v>39.353885237027214</c:v>
                </c:pt>
                <c:pt idx="56">
                  <c:v>33.462591921424796</c:v>
                </c:pt>
                <c:pt idx="57">
                  <c:v>28.535015921322959</c:v>
                </c:pt>
                <c:pt idx="58">
                  <c:v>24.400564750397439</c:v>
                </c:pt>
                <c:pt idx="59">
                  <c:v>20.921061468167856</c:v>
                </c:pt>
                <c:pt idx="60">
                  <c:v>17.984176940896177</c:v>
                </c:pt>
                <c:pt idx="61">
                  <c:v>15.498272946292328</c:v>
                </c:pt>
                <c:pt idx="62">
                  <c:v>13.388336360351218</c:v>
                </c:pt>
                <c:pt idx="63">
                  <c:v>11.592760806940182</c:v>
                </c:pt>
                <c:pt idx="64">
                  <c:v>10.060789313901662</c:v>
                </c:pt>
                <c:pt idx="65">
                  <c:v>8.7504746393583126</c:v>
                </c:pt>
                <c:pt idx="66">
                  <c:v>7.6270466090234441</c:v>
                </c:pt>
                <c:pt idx="67">
                  <c:v>6.6616006794765932</c:v>
                </c:pt>
                <c:pt idx="68">
                  <c:v>5.8300409588660358</c:v>
                </c:pt>
                <c:pt idx="69">
                  <c:v>5.1122255157758802</c:v>
                </c:pt>
                <c:pt idx="70">
                  <c:v>4.4912730606847875</c:v>
                </c:pt>
                <c:pt idx="71">
                  <c:v>3.9529987934290838</c:v>
                </c:pt>
                <c:pt idx="72">
                  <c:v>3.4854539755602651</c:v>
                </c:pt>
                <c:pt idx="73">
                  <c:v>3.0785490616835838</c:v>
                </c:pt>
                <c:pt idx="74">
                  <c:v>2.723744351882452</c:v>
                </c:pt>
                <c:pt idx="75">
                  <c:v>2.4137953689570755</c:v>
                </c:pt>
                <c:pt idx="76">
                  <c:v>2.1425427184272823</c:v>
                </c:pt>
                <c:pt idx="77">
                  <c:v>1.9047382084969153</c:v>
                </c:pt>
                <c:pt idx="78">
                  <c:v>1.6959006086308519</c:v>
                </c:pt>
                <c:pt idx="79">
                  <c:v>1.5121956994785906</c:v>
                </c:pt>
                <c:pt idx="80">
                  <c:v>1.350336283598558</c:v>
                </c:pt>
                <c:pt idx="81">
                  <c:v>1.2074986401874706</c:v>
                </c:pt>
                <c:pt idx="82">
                  <c:v>1.0812525602029315</c:v>
                </c:pt>
                <c:pt idx="83">
                  <c:v>0.96950262403985799</c:v>
                </c:pt>
                <c:pt idx="84">
                  <c:v>0.87043880830003406</c:v>
                </c:pt>
                <c:pt idx="85">
                  <c:v>0.78249485164594323</c:v>
                </c:pt>
                <c:pt idx="86">
                  <c:v>0.7043130884147254</c:v>
                </c:pt>
                <c:pt idx="87">
                  <c:v>0.63471468537334041</c:v>
                </c:pt>
                <c:pt idx="88">
                  <c:v>0.57267440187609508</c:v>
                </c:pt>
                <c:pt idx="89">
                  <c:v>0.51729914482133899</c:v>
                </c:pt>
                <c:pt idx="90">
                  <c:v>0.46780971364826585</c:v>
                </c:pt>
                <c:pt idx="91">
                  <c:v>0.42352523232921013</c:v>
                </c:pt>
                <c:pt idx="92">
                  <c:v>0.38384984904104819</c:v>
                </c:pt>
                <c:pt idx="93">
                  <c:v>0.34826135327438729</c:v>
                </c:pt>
                <c:pt idx="94">
                  <c:v>0.31630141724784833</c:v>
                </c:pt>
                <c:pt idx="95">
                  <c:v>0.28756721581025446</c:v>
                </c:pt>
                <c:pt idx="96">
                  <c:v>0.26170421829586987</c:v>
                </c:pt>
                <c:pt idx="97">
                  <c:v>0.23839997847669331</c:v>
                </c:pt>
                <c:pt idx="98">
                  <c:v>0.21737877599516664</c:v>
                </c:pt>
                <c:pt idx="99">
                  <c:v>0.19839698540974512</c:v>
                </c:pt>
                <c:pt idx="100">
                  <c:v>0.18123906802056053</c:v>
                </c:pt>
              </c:numCache>
            </c:numRef>
          </c:yVal>
          <c:smooth val="1"/>
        </c:ser>
        <c:ser>
          <c:idx val="5"/>
          <c:order val="5"/>
          <c:tx>
            <c:strRef>
              <c:f>Diagram!$G$7</c:f>
              <c:strCache>
                <c:ptCount val="1"/>
                <c:pt idx="0">
                  <c:v>Kq21</c:v>
                </c:pt>
              </c:strCache>
            </c:strRef>
          </c:tx>
          <c:spPr>
            <a:ln w="25400" cap="rnd">
              <a:solidFill>
                <a:schemeClr val="accent2">
                  <a:lumMod val="75000"/>
                </a:schemeClr>
              </a:solidFill>
              <a:prstDash val="sysDash"/>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Diagram!$G$8:$G$108</c:f>
              <c:numCache>
                <c:formatCode>0.00</c:formatCode>
                <c:ptCount val="101"/>
                <c:pt idx="1">
                  <c:v>78.569355856913091</c:v>
                </c:pt>
                <c:pt idx="2">
                  <c:v>78.353427699381655</c:v>
                </c:pt>
                <c:pt idx="3">
                  <c:v>78.13197698745887</c:v>
                </c:pt>
                <c:pt idx="4">
                  <c:v>77.904774206827909</c:v>
                </c:pt>
                <c:pt idx="5">
                  <c:v>77.671576520020409</c:v>
                </c:pt>
                <c:pt idx="6">
                  <c:v>77.432126766247777</c:v>
                </c:pt>
                <c:pt idx="7">
                  <c:v>77.186152368569594</c:v>
                </c:pt>
                <c:pt idx="8">
                  <c:v>76.933364138130926</c:v>
                </c:pt>
                <c:pt idx="9">
                  <c:v>76.673454963870014</c:v>
                </c:pt>
                <c:pt idx="10">
                  <c:v>76.406098374569211</c:v>
                </c:pt>
                <c:pt idx="11">
                  <c:v>76.130946958360923</c:v>
                </c:pt>
                <c:pt idx="12">
                  <c:v>75.847630622768207</c:v>
                </c:pt>
                <c:pt idx="13">
                  <c:v>75.55575467600805</c:v>
                </c:pt>
                <c:pt idx="14">
                  <c:v>75.254897707557646</c:v>
                </c:pt>
                <c:pt idx="15">
                  <c:v>74.944609242810486</c:v>
                </c:pt>
                <c:pt idx="16">
                  <c:v>74.62440714295046</c:v>
                </c:pt>
                <c:pt idx="17">
                  <c:v>74.293774716844709</c:v>
                </c:pt>
                <c:pt idx="18">
                  <c:v>73.952157506682411</c:v>
                </c:pt>
                <c:pt idx="19">
                  <c:v>73.598959703117885</c:v>
                </c:pt>
                <c:pt idx="20">
                  <c:v>73.233540138634112</c:v>
                </c:pt>
                <c:pt idx="21">
                  <c:v>72.855207799505507</c:v>
                </c:pt>
                <c:pt idx="22">
                  <c:v>72.46321678683762</c:v>
                </c:pt>
                <c:pt idx="23">
                  <c:v>72.056760645358253</c:v>
                </c:pt>
                <c:pt idx="24">
                  <c:v>71.634965964516894</c:v>
                </c:pt>
                <c:pt idx="25">
                  <c:v>71.196885139495521</c:v>
                </c:pt>
                <c:pt idx="26">
                  <c:v>70.741488159295812</c:v>
                </c:pt>
                <c:pt idx="27">
                  <c:v>70.267653264325787</c:v>
                </c:pt>
                <c:pt idx="28">
                  <c:v>69.774156285828155</c:v>
                </c:pt>
                <c:pt idx="29">
                  <c:v>69.259658442754073</c:v>
                </c:pt>
                <c:pt idx="30">
                  <c:v>68.72269232660436</c:v>
                </c:pt>
                <c:pt idx="31">
                  <c:v>68.161645749163569</c:v>
                </c:pt>
                <c:pt idx="32">
                  <c:v>67.574743059131421</c:v>
                </c:pt>
                <c:pt idx="33">
                  <c:v>66.960023447746238</c:v>
                </c:pt>
                <c:pt idx="34">
                  <c:v>66.315315655787799</c:v>
                </c:pt>
                <c:pt idx="35">
                  <c:v>65.638208358492747</c:v>
                </c:pt>
                <c:pt idx="36">
                  <c:v>64.926015332443768</c:v>
                </c:pt>
                <c:pt idx="37">
                  <c:v>64.175734288056759</c:v>
                </c:pt>
                <c:pt idx="38">
                  <c:v>63.383997967501621</c:v>
                </c:pt>
                <c:pt idx="39">
                  <c:v>62.547015739756937</c:v>
                </c:pt>
                <c:pt idx="40">
                  <c:v>61.660503443057685</c:v>
                </c:pt>
                <c:pt idx="41">
                  <c:v>60.719598589916309</c:v>
                </c:pt>
                <c:pt idx="42">
                  <c:v>59.718757204402792</c:v>
                </c:pt>
                <c:pt idx="43">
                  <c:v>58.651627424605692</c:v>
                </c:pt>
                <c:pt idx="44">
                  <c:v>57.510893458603199</c:v>
                </c:pt>
                <c:pt idx="45">
                  <c:v>56.288081359605791</c:v>
                </c:pt>
                <c:pt idx="46">
                  <c:v>54.973315132960337</c:v>
                </c:pt>
                <c:pt idx="47">
                  <c:v>53.55500752504215</c:v>
                </c:pt>
                <c:pt idx="48">
                  <c:v>52.01946389149721</c:v>
                </c:pt>
                <c:pt idx="49">
                  <c:v>50.350368896518724</c:v>
                </c:pt>
                <c:pt idx="50">
                  <c:v>48.528113021726064</c:v>
                </c:pt>
                <c:pt idx="51">
                  <c:v>46.528896636780807</c:v>
                </c:pt>
                <c:pt idx="52">
                  <c:v>44.323519842004657</c:v>
                </c:pt>
                <c:pt idx="53">
                  <c:v>41.87571985474235</c:v>
                </c:pt>
                <c:pt idx="54">
                  <c:v>39.139842833578612</c:v>
                </c:pt>
                <c:pt idx="55">
                  <c:v>36.057512811682514</c:v>
                </c:pt>
                <c:pt idx="56">
                  <c:v>32.552747578997781</c:v>
                </c:pt>
                <c:pt idx="57">
                  <c:v>28.52459307542064</c:v>
                </c:pt>
                <c:pt idx="58">
                  <c:v>23.835646507364501</c:v>
                </c:pt>
                <c:pt idx="59">
                  <c:v>18.29347246389969</c:v>
                </c:pt>
                <c:pt idx="60">
                  <c:v>11.619096827311736</c:v>
                </c:pt>
                <c:pt idx="61">
                  <c:v>3.3905224910727014</c:v>
                </c:pt>
                <c:pt idx="62">
                  <c:v>-7.0658394454635527</c:v>
                </c:pt>
                <c:pt idx="63">
                  <c:v>-20.903374856687449</c:v>
                </c:pt>
                <c:pt idx="64">
                  <c:v>-40.295938670225098</c:v>
                </c:pt>
                <c:pt idx="65">
                  <c:v>-69.956426165587231</c:v>
                </c:pt>
                <c:pt idx="66">
                  <c:v>-122.70592063198143</c:v>
                </c:pt>
                <c:pt idx="67">
                  <c:v>-253.52361269075311</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numCache>
            </c:numRef>
          </c:yVal>
          <c:smooth val="1"/>
        </c:ser>
        <c:ser>
          <c:idx val="6"/>
          <c:order val="6"/>
          <c:tx>
            <c:strRef>
              <c:f>Diagram!$H$7</c:f>
              <c:strCache>
                <c:ptCount val="1"/>
                <c:pt idx="0">
                  <c:v>km0</c:v>
                </c:pt>
              </c:strCache>
            </c:strRef>
          </c:tx>
          <c:spPr>
            <a:ln w="12700" cap="rnd">
              <a:solidFill>
                <a:srgbClr val="FF0000"/>
              </a:solidFill>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Diagram!$H$8:$H$108</c:f>
              <c:numCache>
                <c:formatCode>0.00</c:formatCode>
                <c:ptCount val="101"/>
                <c:pt idx="0">
                  <c:v>280</c:v>
                </c:pt>
                <c:pt idx="1">
                  <c:v>277</c:v>
                </c:pt>
                <c:pt idx="2">
                  <c:v>274</c:v>
                </c:pt>
                <c:pt idx="3">
                  <c:v>271</c:v>
                </c:pt>
                <c:pt idx="4">
                  <c:v>268</c:v>
                </c:pt>
                <c:pt idx="5">
                  <c:v>265</c:v>
                </c:pt>
                <c:pt idx="6">
                  <c:v>262</c:v>
                </c:pt>
                <c:pt idx="7">
                  <c:v>259</c:v>
                </c:pt>
                <c:pt idx="8">
                  <c:v>256</c:v>
                </c:pt>
                <c:pt idx="9">
                  <c:v>253</c:v>
                </c:pt>
                <c:pt idx="10">
                  <c:v>250</c:v>
                </c:pt>
                <c:pt idx="11">
                  <c:v>247</c:v>
                </c:pt>
                <c:pt idx="12">
                  <c:v>244</c:v>
                </c:pt>
                <c:pt idx="13">
                  <c:v>241</c:v>
                </c:pt>
                <c:pt idx="14">
                  <c:v>238</c:v>
                </c:pt>
                <c:pt idx="15">
                  <c:v>235</c:v>
                </c:pt>
                <c:pt idx="16">
                  <c:v>232</c:v>
                </c:pt>
                <c:pt idx="17">
                  <c:v>229</c:v>
                </c:pt>
                <c:pt idx="18">
                  <c:v>226</c:v>
                </c:pt>
                <c:pt idx="19">
                  <c:v>223</c:v>
                </c:pt>
                <c:pt idx="20">
                  <c:v>220</c:v>
                </c:pt>
                <c:pt idx="21">
                  <c:v>217</c:v>
                </c:pt>
                <c:pt idx="22">
                  <c:v>214</c:v>
                </c:pt>
                <c:pt idx="23">
                  <c:v>211</c:v>
                </c:pt>
                <c:pt idx="24">
                  <c:v>208</c:v>
                </c:pt>
                <c:pt idx="25">
                  <c:v>205</c:v>
                </c:pt>
                <c:pt idx="26">
                  <c:v>202</c:v>
                </c:pt>
                <c:pt idx="27">
                  <c:v>199</c:v>
                </c:pt>
                <c:pt idx="28">
                  <c:v>196</c:v>
                </c:pt>
                <c:pt idx="29">
                  <c:v>193</c:v>
                </c:pt>
                <c:pt idx="30">
                  <c:v>190</c:v>
                </c:pt>
                <c:pt idx="31">
                  <c:v>187</c:v>
                </c:pt>
                <c:pt idx="32">
                  <c:v>184</c:v>
                </c:pt>
                <c:pt idx="33">
                  <c:v>181</c:v>
                </c:pt>
                <c:pt idx="34">
                  <c:v>178</c:v>
                </c:pt>
                <c:pt idx="35">
                  <c:v>175</c:v>
                </c:pt>
                <c:pt idx="36">
                  <c:v>172</c:v>
                </c:pt>
                <c:pt idx="37">
                  <c:v>169</c:v>
                </c:pt>
                <c:pt idx="38">
                  <c:v>166</c:v>
                </c:pt>
                <c:pt idx="39">
                  <c:v>163</c:v>
                </c:pt>
                <c:pt idx="40">
                  <c:v>160</c:v>
                </c:pt>
                <c:pt idx="41">
                  <c:v>157</c:v>
                </c:pt>
                <c:pt idx="42">
                  <c:v>154</c:v>
                </c:pt>
                <c:pt idx="43">
                  <c:v>151</c:v>
                </c:pt>
                <c:pt idx="44">
                  <c:v>148</c:v>
                </c:pt>
                <c:pt idx="45">
                  <c:v>145</c:v>
                </c:pt>
                <c:pt idx="46">
                  <c:v>142</c:v>
                </c:pt>
                <c:pt idx="47">
                  <c:v>139</c:v>
                </c:pt>
                <c:pt idx="48">
                  <c:v>136</c:v>
                </c:pt>
                <c:pt idx="49">
                  <c:v>133</c:v>
                </c:pt>
                <c:pt idx="50">
                  <c:v>130</c:v>
                </c:pt>
                <c:pt idx="51">
                  <c:v>127</c:v>
                </c:pt>
                <c:pt idx="52">
                  <c:v>124</c:v>
                </c:pt>
                <c:pt idx="53">
                  <c:v>121</c:v>
                </c:pt>
                <c:pt idx="54">
                  <c:v>118</c:v>
                </c:pt>
                <c:pt idx="55">
                  <c:v>115</c:v>
                </c:pt>
                <c:pt idx="56">
                  <c:v>112</c:v>
                </c:pt>
                <c:pt idx="57">
                  <c:v>109</c:v>
                </c:pt>
                <c:pt idx="58">
                  <c:v>106</c:v>
                </c:pt>
                <c:pt idx="59">
                  <c:v>103</c:v>
                </c:pt>
                <c:pt idx="60">
                  <c:v>100</c:v>
                </c:pt>
                <c:pt idx="61">
                  <c:v>97</c:v>
                </c:pt>
                <c:pt idx="62">
                  <c:v>94</c:v>
                </c:pt>
                <c:pt idx="63">
                  <c:v>91</c:v>
                </c:pt>
                <c:pt idx="64">
                  <c:v>88</c:v>
                </c:pt>
                <c:pt idx="65">
                  <c:v>85</c:v>
                </c:pt>
                <c:pt idx="66">
                  <c:v>82</c:v>
                </c:pt>
                <c:pt idx="67">
                  <c:v>79</c:v>
                </c:pt>
                <c:pt idx="68">
                  <c:v>76</c:v>
                </c:pt>
                <c:pt idx="69">
                  <c:v>73</c:v>
                </c:pt>
                <c:pt idx="70">
                  <c:v>70</c:v>
                </c:pt>
                <c:pt idx="71">
                  <c:v>67</c:v>
                </c:pt>
                <c:pt idx="72">
                  <c:v>64</c:v>
                </c:pt>
                <c:pt idx="73">
                  <c:v>61</c:v>
                </c:pt>
                <c:pt idx="74">
                  <c:v>58</c:v>
                </c:pt>
                <c:pt idx="75">
                  <c:v>55</c:v>
                </c:pt>
                <c:pt idx="76">
                  <c:v>52</c:v>
                </c:pt>
                <c:pt idx="77">
                  <c:v>49</c:v>
                </c:pt>
                <c:pt idx="78">
                  <c:v>46</c:v>
                </c:pt>
                <c:pt idx="79">
                  <c:v>43</c:v>
                </c:pt>
                <c:pt idx="80">
                  <c:v>40</c:v>
                </c:pt>
                <c:pt idx="81">
                  <c:v>37</c:v>
                </c:pt>
                <c:pt idx="82">
                  <c:v>34</c:v>
                </c:pt>
                <c:pt idx="83">
                  <c:v>31</c:v>
                </c:pt>
                <c:pt idx="84">
                  <c:v>28</c:v>
                </c:pt>
                <c:pt idx="85">
                  <c:v>25</c:v>
                </c:pt>
                <c:pt idx="86">
                  <c:v>22</c:v>
                </c:pt>
                <c:pt idx="87">
                  <c:v>19</c:v>
                </c:pt>
                <c:pt idx="88">
                  <c:v>16</c:v>
                </c:pt>
                <c:pt idx="89">
                  <c:v>13</c:v>
                </c:pt>
                <c:pt idx="90">
                  <c:v>10</c:v>
                </c:pt>
                <c:pt idx="91">
                  <c:v>7</c:v>
                </c:pt>
                <c:pt idx="92">
                  <c:v>4</c:v>
                </c:pt>
                <c:pt idx="93">
                  <c:v>1</c:v>
                </c:pt>
                <c:pt idx="94">
                  <c:v>-2</c:v>
                </c:pt>
                <c:pt idx="95">
                  <c:v>-5</c:v>
                </c:pt>
                <c:pt idx="96">
                  <c:v>-8</c:v>
                </c:pt>
                <c:pt idx="97">
                  <c:v>-11</c:v>
                </c:pt>
                <c:pt idx="98">
                  <c:v>-14</c:v>
                </c:pt>
                <c:pt idx="99">
                  <c:v>-17</c:v>
                </c:pt>
                <c:pt idx="100">
                  <c:v>-20</c:v>
                </c:pt>
              </c:numCache>
            </c:numRef>
          </c:yVal>
          <c:smooth val="1"/>
        </c:ser>
        <c:ser>
          <c:idx val="7"/>
          <c:order val="7"/>
          <c:tx>
            <c:strRef>
              <c:f>Diagram!$I$7</c:f>
              <c:strCache>
                <c:ptCount val="1"/>
                <c:pt idx="0">
                  <c:v>km1</c:v>
                </c:pt>
              </c:strCache>
            </c:strRef>
          </c:tx>
          <c:spPr>
            <a:ln w="12700" cap="rnd">
              <a:solidFill>
                <a:srgbClr val="FF0000"/>
              </a:solidFill>
              <a:prstDash val="dash"/>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Diagram!$I$8:$I$108</c:f>
              <c:numCache>
                <c:formatCode>0.00</c:formatCode>
                <c:ptCount val="101"/>
                <c:pt idx="0">
                  <c:v>280</c:v>
                </c:pt>
                <c:pt idx="1">
                  <c:v>275.58823529411762</c:v>
                </c:pt>
                <c:pt idx="2">
                  <c:v>271.1764705882353</c:v>
                </c:pt>
                <c:pt idx="3">
                  <c:v>266.76470588235293</c:v>
                </c:pt>
                <c:pt idx="4">
                  <c:v>262.35294117647061</c:v>
                </c:pt>
                <c:pt idx="5">
                  <c:v>257.94117647058823</c:v>
                </c:pt>
                <c:pt idx="6">
                  <c:v>253.52941176470588</c:v>
                </c:pt>
                <c:pt idx="7">
                  <c:v>249.11764705882354</c:v>
                </c:pt>
                <c:pt idx="8">
                  <c:v>244.70588235294119</c:v>
                </c:pt>
                <c:pt idx="9">
                  <c:v>240.29411764705884</c:v>
                </c:pt>
                <c:pt idx="10">
                  <c:v>235.88235294117646</c:v>
                </c:pt>
                <c:pt idx="11">
                  <c:v>231.47058823529412</c:v>
                </c:pt>
                <c:pt idx="12">
                  <c:v>227.05882352941177</c:v>
                </c:pt>
                <c:pt idx="13">
                  <c:v>222.64705882352942</c:v>
                </c:pt>
                <c:pt idx="14">
                  <c:v>218.23529411764707</c:v>
                </c:pt>
                <c:pt idx="15">
                  <c:v>213.8235294117647</c:v>
                </c:pt>
                <c:pt idx="16">
                  <c:v>209.41176470588238</c:v>
                </c:pt>
                <c:pt idx="17">
                  <c:v>205</c:v>
                </c:pt>
                <c:pt idx="18">
                  <c:v>200.58823529411765</c:v>
                </c:pt>
                <c:pt idx="19">
                  <c:v>196.1764705882353</c:v>
                </c:pt>
                <c:pt idx="20">
                  <c:v>191.76470588235296</c:v>
                </c:pt>
                <c:pt idx="21">
                  <c:v>187.35294117647061</c:v>
                </c:pt>
                <c:pt idx="22">
                  <c:v>182.94117647058823</c:v>
                </c:pt>
                <c:pt idx="23">
                  <c:v>178.52941176470591</c:v>
                </c:pt>
                <c:pt idx="24">
                  <c:v>174.11764705882354</c:v>
                </c:pt>
                <c:pt idx="25">
                  <c:v>169.70588235294119</c:v>
                </c:pt>
                <c:pt idx="26">
                  <c:v>165.29411764705884</c:v>
                </c:pt>
                <c:pt idx="27">
                  <c:v>160.88235294117649</c:v>
                </c:pt>
                <c:pt idx="28">
                  <c:v>156.47058823529414</c:v>
                </c:pt>
                <c:pt idx="29">
                  <c:v>152.05882352941177</c:v>
                </c:pt>
                <c:pt idx="30">
                  <c:v>147.64705882352942</c:v>
                </c:pt>
                <c:pt idx="31">
                  <c:v>143.23529411764707</c:v>
                </c:pt>
                <c:pt idx="32">
                  <c:v>138.82352941176472</c:v>
                </c:pt>
                <c:pt idx="33">
                  <c:v>134.41176470588238</c:v>
                </c:pt>
                <c:pt idx="34">
                  <c:v>130.00000000000003</c:v>
                </c:pt>
                <c:pt idx="35">
                  <c:v>125.58823529411768</c:v>
                </c:pt>
                <c:pt idx="36">
                  <c:v>121.1764705882353</c:v>
                </c:pt>
                <c:pt idx="37">
                  <c:v>116.76470588235296</c:v>
                </c:pt>
                <c:pt idx="38">
                  <c:v>112.35294117647061</c:v>
                </c:pt>
                <c:pt idx="39">
                  <c:v>107.94117647058826</c:v>
                </c:pt>
                <c:pt idx="40">
                  <c:v>103.52941176470591</c:v>
                </c:pt>
                <c:pt idx="41">
                  <c:v>99.117647058823565</c:v>
                </c:pt>
                <c:pt idx="42">
                  <c:v>94.705882352941188</c:v>
                </c:pt>
                <c:pt idx="43">
                  <c:v>90.29411764705884</c:v>
                </c:pt>
                <c:pt idx="44">
                  <c:v>85.882352941176492</c:v>
                </c:pt>
                <c:pt idx="45">
                  <c:v>81.470588235294144</c:v>
                </c:pt>
                <c:pt idx="46">
                  <c:v>77.058823529411796</c:v>
                </c:pt>
                <c:pt idx="47">
                  <c:v>72.647058823529449</c:v>
                </c:pt>
                <c:pt idx="48">
                  <c:v>68.235294117647072</c:v>
                </c:pt>
                <c:pt idx="49">
                  <c:v>63.823529411764724</c:v>
                </c:pt>
                <c:pt idx="50">
                  <c:v>59.411764705882376</c:v>
                </c:pt>
                <c:pt idx="51">
                  <c:v>55.000000000000028</c:v>
                </c:pt>
                <c:pt idx="52">
                  <c:v>50.58823529411768</c:v>
                </c:pt>
                <c:pt idx="53">
                  <c:v>46.176470588235333</c:v>
                </c:pt>
                <c:pt idx="54">
                  <c:v>41.764705882352985</c:v>
                </c:pt>
                <c:pt idx="55">
                  <c:v>37.352941176470608</c:v>
                </c:pt>
                <c:pt idx="56">
                  <c:v>32.94117647058826</c:v>
                </c:pt>
                <c:pt idx="57">
                  <c:v>28.529411764705912</c:v>
                </c:pt>
                <c:pt idx="58">
                  <c:v>24.117647058823565</c:v>
                </c:pt>
                <c:pt idx="59">
                  <c:v>19.705882352941217</c:v>
                </c:pt>
                <c:pt idx="60">
                  <c:v>15.29411764705884</c:v>
                </c:pt>
                <c:pt idx="61">
                  <c:v>10.882352941176521</c:v>
                </c:pt>
                <c:pt idx="62">
                  <c:v>6.4705882352941444</c:v>
                </c:pt>
                <c:pt idx="63">
                  <c:v>2.0588235294118249</c:v>
                </c:pt>
                <c:pt idx="64">
                  <c:v>-2.3529411764705515</c:v>
                </c:pt>
                <c:pt idx="65">
                  <c:v>-6.7647058823529278</c:v>
                </c:pt>
                <c:pt idx="66">
                  <c:v>-11.176470588235247</c:v>
                </c:pt>
                <c:pt idx="67">
                  <c:v>-15.588235294117624</c:v>
                </c:pt>
                <c:pt idx="68">
                  <c:v>-19.999999999999943</c:v>
                </c:pt>
                <c:pt idx="69">
                  <c:v>-24.41176470588232</c:v>
                </c:pt>
                <c:pt idx="70">
                  <c:v>-28.823529411764639</c:v>
                </c:pt>
                <c:pt idx="71">
                  <c:v>-33.235294117647015</c:v>
                </c:pt>
                <c:pt idx="72">
                  <c:v>-37.647058823529392</c:v>
                </c:pt>
                <c:pt idx="73">
                  <c:v>-42.058823529411711</c:v>
                </c:pt>
                <c:pt idx="74">
                  <c:v>-46.470588235294088</c:v>
                </c:pt>
                <c:pt idx="75">
                  <c:v>-50.882352941176407</c:v>
                </c:pt>
                <c:pt idx="76">
                  <c:v>-55.294117647058783</c:v>
                </c:pt>
                <c:pt idx="77">
                  <c:v>-59.70588235294116</c:v>
                </c:pt>
                <c:pt idx="78">
                  <c:v>-64.117647058823479</c:v>
                </c:pt>
                <c:pt idx="79">
                  <c:v>-68.529411764705856</c:v>
                </c:pt>
                <c:pt idx="80">
                  <c:v>-72.941176470588175</c:v>
                </c:pt>
                <c:pt idx="81">
                  <c:v>-77.352941176470551</c:v>
                </c:pt>
                <c:pt idx="82">
                  <c:v>-81.764705882352871</c:v>
                </c:pt>
                <c:pt idx="83">
                  <c:v>-86.176470588235247</c:v>
                </c:pt>
                <c:pt idx="84">
                  <c:v>-90.588235294117624</c:v>
                </c:pt>
                <c:pt idx="85">
                  <c:v>-94.999999999999943</c:v>
                </c:pt>
                <c:pt idx="86">
                  <c:v>-99.41176470588232</c:v>
                </c:pt>
                <c:pt idx="87">
                  <c:v>-103.82352941176464</c:v>
                </c:pt>
                <c:pt idx="88">
                  <c:v>-108.23529411764702</c:v>
                </c:pt>
                <c:pt idx="89">
                  <c:v>-112.64705882352933</c:v>
                </c:pt>
                <c:pt idx="90">
                  <c:v>-117.05882352941171</c:v>
                </c:pt>
                <c:pt idx="91">
                  <c:v>-121.47058823529409</c:v>
                </c:pt>
                <c:pt idx="92">
                  <c:v>-125.88235294117641</c:v>
                </c:pt>
                <c:pt idx="93">
                  <c:v>-130.29411764705878</c:v>
                </c:pt>
                <c:pt idx="94">
                  <c:v>-134.7058823529411</c:v>
                </c:pt>
                <c:pt idx="95">
                  <c:v>-139.11764705882348</c:v>
                </c:pt>
                <c:pt idx="96">
                  <c:v>-143.52941176470586</c:v>
                </c:pt>
                <c:pt idx="97">
                  <c:v>-147.94117647058818</c:v>
                </c:pt>
                <c:pt idx="98">
                  <c:v>-152.35294117647055</c:v>
                </c:pt>
                <c:pt idx="99">
                  <c:v>-156.76470588235287</c:v>
                </c:pt>
                <c:pt idx="100">
                  <c:v>-161.17647058823525</c:v>
                </c:pt>
              </c:numCache>
            </c:numRef>
          </c:yVal>
          <c:smooth val="1"/>
        </c:ser>
        <c:ser>
          <c:idx val="8"/>
          <c:order val="8"/>
          <c:tx>
            <c:strRef>
              <c:f>Diagram!$J$7</c:f>
              <c:strCache>
                <c:ptCount val="1"/>
                <c:pt idx="0">
                  <c:v>Boundaries</c:v>
                </c:pt>
              </c:strCache>
            </c:strRef>
          </c:tx>
          <c:spPr>
            <a:ln w="25400" cap="rnd">
              <a:solidFill>
                <a:schemeClr val="tx1"/>
              </a:solidFill>
              <a:round/>
            </a:ln>
            <a:effectLst/>
          </c:spPr>
          <c:marker>
            <c:symbol val="none"/>
          </c:marker>
          <c:xVal>
            <c:numRef>
              <c:f>Diagram!$J$8:$J$9</c:f>
              <c:numCache>
                <c:formatCode>0.00</c:formatCode>
                <c:ptCount val="2"/>
                <c:pt idx="0">
                  <c:v>100</c:v>
                </c:pt>
                <c:pt idx="1">
                  <c:v>100</c:v>
                </c:pt>
              </c:numCache>
            </c:numRef>
          </c:xVal>
          <c:yVal>
            <c:numRef>
              <c:f>Diagram!$K$8:$K$9</c:f>
              <c:numCache>
                <c:formatCode>0.00</c:formatCode>
                <c:ptCount val="2"/>
                <c:pt idx="0">
                  <c:v>0</c:v>
                </c:pt>
                <c:pt idx="1">
                  <c:v>100</c:v>
                </c:pt>
              </c:numCache>
            </c:numRef>
          </c:yVal>
          <c:smooth val="1"/>
        </c:ser>
        <c:ser>
          <c:idx val="9"/>
          <c:order val="9"/>
          <c:tx>
            <c:strRef>
              <c:f>Diagram!$J$7</c:f>
              <c:strCache>
                <c:ptCount val="1"/>
                <c:pt idx="0">
                  <c:v>Boundaries</c:v>
                </c:pt>
              </c:strCache>
            </c:strRef>
          </c:tx>
          <c:spPr>
            <a:ln w="19050" cap="rnd">
              <a:solidFill>
                <a:schemeClr val="accent4">
                  <a:lumMod val="60000"/>
                </a:schemeClr>
              </a:solidFill>
              <a:round/>
            </a:ln>
            <a:effectLst/>
          </c:spPr>
          <c:marker>
            <c:symbol val="none"/>
          </c:marker>
          <c:dPt>
            <c:idx val="1"/>
            <c:marker>
              <c:symbol val="none"/>
            </c:marker>
            <c:bubble3D val="0"/>
            <c:spPr>
              <a:ln w="25400" cap="rnd">
                <a:solidFill>
                  <a:schemeClr val="tx1"/>
                </a:solidFill>
                <a:prstDash val="sysDash"/>
                <a:round/>
              </a:ln>
              <a:effectLst/>
            </c:spPr>
          </c:dPt>
          <c:xVal>
            <c:numRef>
              <c:f>Diagram!$J$11:$J$12</c:f>
              <c:numCache>
                <c:formatCode>0.00</c:formatCode>
                <c:ptCount val="2"/>
                <c:pt idx="0">
                  <c:v>68</c:v>
                </c:pt>
                <c:pt idx="1">
                  <c:v>68</c:v>
                </c:pt>
              </c:numCache>
            </c:numRef>
          </c:xVal>
          <c:yVal>
            <c:numRef>
              <c:f>Diagram!$K$11:$K$12</c:f>
              <c:numCache>
                <c:formatCode>0.00</c:formatCode>
                <c:ptCount val="2"/>
                <c:pt idx="0">
                  <c:v>0</c:v>
                </c:pt>
                <c:pt idx="1">
                  <c:v>100</c:v>
                </c:pt>
              </c:numCache>
            </c:numRef>
          </c:yVal>
          <c:smooth val="1"/>
        </c:ser>
        <c:ser>
          <c:idx val="10"/>
          <c:order val="10"/>
          <c:tx>
            <c:strRef>
              <c:f>Diagram!$J$7</c:f>
              <c:strCache>
                <c:ptCount val="1"/>
                <c:pt idx="0">
                  <c:v>Boundaries</c:v>
                </c:pt>
              </c:strCache>
            </c:strRef>
          </c:tx>
          <c:spPr>
            <a:ln w="25400" cap="rnd">
              <a:solidFill>
                <a:schemeClr val="tx1"/>
              </a:solidFill>
              <a:round/>
            </a:ln>
            <a:effectLst/>
          </c:spPr>
          <c:marker>
            <c:symbol val="none"/>
          </c:marker>
          <c:xVal>
            <c:numRef>
              <c:f>Diagram!$J$14:$J$15</c:f>
              <c:numCache>
                <c:formatCode>0.00</c:formatCode>
                <c:ptCount val="2"/>
                <c:pt idx="0">
                  <c:v>0</c:v>
                </c:pt>
                <c:pt idx="1">
                  <c:v>100</c:v>
                </c:pt>
              </c:numCache>
            </c:numRef>
          </c:xVal>
          <c:yVal>
            <c:numRef>
              <c:f>Diagram!$K$14:$K$15</c:f>
              <c:numCache>
                <c:formatCode>0.00</c:formatCode>
                <c:ptCount val="2"/>
                <c:pt idx="0">
                  <c:v>100</c:v>
                </c:pt>
                <c:pt idx="1">
                  <c:v>100</c:v>
                </c:pt>
              </c:numCache>
            </c:numRef>
          </c:yVal>
          <c:smooth val="1"/>
        </c:ser>
        <c:ser>
          <c:idx val="11"/>
          <c:order val="11"/>
          <c:tx>
            <c:strRef>
              <c:f>Diagram!$J$7</c:f>
              <c:strCache>
                <c:ptCount val="1"/>
                <c:pt idx="0">
                  <c:v>Boundaries</c:v>
                </c:pt>
              </c:strCache>
            </c:strRef>
          </c:tx>
          <c:spPr>
            <a:ln w="25400" cap="rnd">
              <a:solidFill>
                <a:schemeClr val="tx1"/>
              </a:solidFill>
              <a:prstDash val="sysDash"/>
              <a:round/>
            </a:ln>
            <a:effectLst/>
          </c:spPr>
          <c:marker>
            <c:symbol val="none"/>
          </c:marker>
          <c:xVal>
            <c:numRef>
              <c:f>Diagram!$J$17:$J$18</c:f>
              <c:numCache>
                <c:formatCode>0.00</c:formatCode>
                <c:ptCount val="2"/>
                <c:pt idx="0">
                  <c:v>0</c:v>
                </c:pt>
                <c:pt idx="1">
                  <c:v>100</c:v>
                </c:pt>
              </c:numCache>
            </c:numRef>
          </c:xVal>
          <c:yVal>
            <c:numRef>
              <c:f>Diagram!$K$17:$K$18</c:f>
              <c:numCache>
                <c:formatCode>0.00</c:formatCode>
                <c:ptCount val="2"/>
                <c:pt idx="0">
                  <c:v>100</c:v>
                </c:pt>
                <c:pt idx="1">
                  <c:v>100</c:v>
                </c:pt>
              </c:numCache>
            </c:numRef>
          </c:yVal>
          <c:smooth val="1"/>
        </c:ser>
        <c:dLbls>
          <c:showLegendKey val="0"/>
          <c:showVal val="0"/>
          <c:showCatName val="0"/>
          <c:showSerName val="0"/>
          <c:showPercent val="0"/>
          <c:showBubbleSize val="0"/>
        </c:dLbls>
        <c:axId val="-1331325024"/>
        <c:axId val="-1331327744"/>
      </c:scatterChart>
      <c:valAx>
        <c:axId val="-1331325024"/>
        <c:scaling>
          <c:orientation val="minMax"/>
          <c:max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331327744"/>
        <c:crosses val="autoZero"/>
        <c:crossBetween val="midCat"/>
      </c:valAx>
      <c:valAx>
        <c:axId val="-1331327744"/>
        <c:scaling>
          <c:orientation val="minMax"/>
          <c:max val="10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331325024"/>
        <c:crosses val="autoZero"/>
        <c:crossBetween val="midCat"/>
      </c:valAx>
      <c:spPr>
        <a:solidFill>
          <a:schemeClr val="accent4">
            <a:lumMod val="20000"/>
            <a:lumOff val="80000"/>
          </a:schemeClr>
        </a:solidFill>
        <a:ln w="25400">
          <a:solidFill>
            <a:schemeClr val="tx1"/>
          </a:solidFill>
        </a:ln>
        <a:effectLst/>
      </c:spPr>
    </c:plotArea>
    <c:plotVisOnly val="0"/>
    <c:dispBlanksAs val="gap"/>
    <c:showDLblsOverMax val="0"/>
  </c:chart>
  <c:spPr>
    <a:solidFill>
      <a:schemeClr val="bg1"/>
    </a:solidFill>
    <a:ln w="9525" cap="flat" cmpd="sng" algn="ctr">
      <a:noFill/>
      <a:round/>
    </a:ln>
    <a:effectLst/>
  </c:spPr>
  <c:txPr>
    <a:bodyPr/>
    <a:lstStyle/>
    <a:p>
      <a:pPr>
        <a:defRPr sz="1050">
          <a:solidFill>
            <a:schemeClr val="tx1"/>
          </a:solidFill>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207694413091509"/>
          <c:y val="5.9023838841065733E-2"/>
          <c:w val="0.78275139557943352"/>
          <c:h val="0.8186000450737041"/>
        </c:manualLayout>
      </c:layout>
      <c:scatterChart>
        <c:scatterStyle val="smoothMarker"/>
        <c:varyColors val="0"/>
        <c:ser>
          <c:idx val="0"/>
          <c:order val="0"/>
          <c:tx>
            <c:strRef>
              <c:f>Diagram!$N$7</c:f>
              <c:strCache>
                <c:ptCount val="1"/>
                <c:pt idx="0">
                  <c:v>X20</c:v>
                </c:pt>
              </c:strCache>
            </c:strRef>
          </c:tx>
          <c:spPr>
            <a:ln w="25400" cap="rnd">
              <a:solidFill>
                <a:schemeClr val="accent5">
                  <a:lumMod val="75000"/>
                </a:schemeClr>
              </a:solidFill>
              <a:round/>
            </a:ln>
            <a:effectLst/>
          </c:spPr>
          <c:marker>
            <c:symbol val="none"/>
          </c:marker>
          <c:xVal>
            <c:numRef>
              <c:f>Diagram!$M$8:$M$108</c:f>
              <c:numCache>
                <c:formatCode>0.00</c:formatCode>
                <c:ptCount val="101"/>
                <c:pt idx="0">
                  <c:v>0</c:v>
                </c:pt>
                <c:pt idx="1">
                  <c:v>0.77156162826173658</c:v>
                </c:pt>
                <c:pt idx="2">
                  <c:v>1.5445728896715631</c:v>
                </c:pt>
                <c:pt idx="3">
                  <c:v>2.3190564672868423</c:v>
                </c:pt>
                <c:pt idx="4">
                  <c:v>3.0950356522444076</c:v>
                </c:pt>
                <c:pt idx="5">
                  <c:v>3.8725343665384724</c:v>
                </c:pt>
                <c:pt idx="6">
                  <c:v>4.6515771868924531</c:v>
                </c:pt>
                <c:pt idx="7">
                  <c:v>5.4321893697888566</c:v>
                </c:pt>
                <c:pt idx="8">
                  <c:v>6.2143968777258687</c:v>
                </c:pt>
                <c:pt idx="9">
                  <c:v>6.9982264067740427</c:v>
                </c:pt>
                <c:pt idx="10">
                  <c:v>7.7837054155117107</c:v>
                </c:pt>
                <c:pt idx="11">
                  <c:v>8.570862155423411</c:v>
                </c:pt>
                <c:pt idx="12">
                  <c:v>9.359725702851641</c:v>
                </c:pt>
                <c:pt idx="13">
                  <c:v>10.150325992598873</c:v>
                </c:pt>
                <c:pt idx="14">
                  <c:v>10.942693853283988</c:v>
                </c:pt>
                <c:pt idx="15">
                  <c:v>11.736861044565037</c:v>
                </c:pt>
                <c:pt idx="16">
                  <c:v>12.532860296348504</c:v>
                </c:pt>
                <c:pt idx="17">
                  <c:v>13.330725350114895</c:v>
                </c:pt>
                <c:pt idx="18">
                  <c:v>14.130491002499822</c:v>
                </c:pt>
                <c:pt idx="19">
                  <c:v>14.93219315128132</c:v>
                </c:pt>
                <c:pt idx="20">
                  <c:v>15.735868843935442</c:v>
                </c:pt>
                <c:pt idx="21">
                  <c:v>16.541556328935545</c:v>
                </c:pt>
                <c:pt idx="22">
                  <c:v>17.349295109984606</c:v>
                </c:pt>
                <c:pt idx="23">
                  <c:v>18.159126003385513</c:v>
                </c:pt>
                <c:pt idx="24">
                  <c:v>18.971091198771237</c:v>
                </c:pt>
                <c:pt idx="25">
                  <c:v>19.785234323435215</c:v>
                </c:pt>
                <c:pt idx="26">
                  <c:v>20.601600510522971</c:v>
                </c:pt>
                <c:pt idx="27">
                  <c:v>21.420236471367968</c:v>
                </c:pt>
                <c:pt idx="28">
                  <c:v>22.24119057227988</c:v>
                </c:pt>
                <c:pt idx="29">
                  <c:v>23.064512916119888</c:v>
                </c:pt>
                <c:pt idx="30">
                  <c:v>23.890255429028002</c:v>
                </c:pt>
                <c:pt idx="31">
                  <c:v>24.718471952700337</c:v>
                </c:pt>
                <c:pt idx="32">
                  <c:v>25.549218342650196</c:v>
                </c:pt>
                <c:pt idx="33">
                  <c:v>26.38255257292775</c:v>
                </c:pt>
                <c:pt idx="34">
                  <c:v>27.2185348478172</c:v>
                </c:pt>
                <c:pt idx="35">
                  <c:v>28.057227721080075</c:v>
                </c:pt>
                <c:pt idx="36">
                  <c:v>28.898696223368312</c:v>
                </c:pt>
                <c:pt idx="37">
                  <c:v>29.743007998491269</c:v>
                </c:pt>
                <c:pt idx="38">
                  <c:v>30.590233449290132</c:v>
                </c:pt>
                <c:pt idx="39">
                  <c:v>31.440445893947565</c:v>
                </c:pt>
                <c:pt idx="40">
                  <c:v>32.293721733646663</c:v>
                </c:pt>
                <c:pt idx="41">
                  <c:v>33.150140632587174</c:v>
                </c:pt>
                <c:pt idx="42">
                  <c:v>34.009785711473974</c:v>
                </c:pt>
                <c:pt idx="43">
                  <c:v>34.872743755711738</c:v>
                </c:pt>
                <c:pt idx="44">
                  <c:v>35.739105439674354</c:v>
                </c:pt>
                <c:pt idx="45">
                  <c:v>36.608965568568486</c:v>
                </c:pt>
                <c:pt idx="46">
                  <c:v>37.482423339581807</c:v>
                </c:pt>
                <c:pt idx="47">
                  <c:v>38.359582624199014</c:v>
                </c:pt>
                <c:pt idx="48">
                  <c:v>39.240552273787536</c:v>
                </c:pt>
                <c:pt idx="49">
                  <c:v>40.12544645080277</c:v>
                </c:pt>
                <c:pt idx="50">
                  <c:v>41.014384988245091</c:v>
                </c:pt>
                <c:pt idx="51">
                  <c:v>41.907493780322248</c:v>
                </c:pt>
                <c:pt idx="52">
                  <c:v>42.804905207638313</c:v>
                </c:pt>
                <c:pt idx="53">
                  <c:v>43.706758600650737</c:v>
                </c:pt>
                <c:pt idx="54">
                  <c:v>44.613200745620148</c:v>
                </c:pt>
                <c:pt idx="55">
                  <c:v>45.524386437831943</c:v>
                </c:pt>
                <c:pt idx="56">
                  <c:v>46.440479087509694</c:v>
                </c:pt>
                <c:pt idx="57">
                  <c:v>47.36165138458027</c:v>
                </c:pt>
                <c:pt idx="58">
                  <c:v>48.288086029308644</c:v>
                </c:pt>
                <c:pt idx="59">
                  <c:v>49.219976536818351</c:v>
                </c:pt>
                <c:pt idx="60">
                  <c:v>50.157528124676219</c:v>
                </c:pt>
                <c:pt idx="61">
                  <c:v>51.100958694081193</c:v>
                </c:pt>
                <c:pt idx="62">
                  <c:v>52.050499916791644</c:v>
                </c:pt>
                <c:pt idx="63">
                  <c:v>53.006398441805089</c:v>
                </c:pt>
                <c:pt idx="64">
                  <c:v>53.968917238021319</c:v>
                </c:pt>
                <c:pt idx="65">
                  <c:v>54.938337091749617</c:v>
                </c:pt>
                <c:pt idx="66">
                  <c:v>55.914958281046808</c:v>
                </c:pt>
                <c:pt idx="67">
                  <c:v>56.899102452608773</c:v>
                </c:pt>
                <c:pt idx="68">
                  <c:v>57.891114731413381</c:v>
                </c:pt>
                <c:pt idx="69">
                  <c:v>58.891366098705397</c:v>
                </c:pt>
                <c:pt idx="70">
                  <c:v>59.900256080433095</c:v>
                </c:pt>
                <c:pt idx="71">
                  <c:v>60.918215796167502</c:v>
                </c:pt>
                <c:pt idx="72">
                  <c:v>61.945711428207908</c:v>
                </c:pt>
                <c:pt idx="73">
                  <c:v>62.983248182446381</c:v>
                </c:pt>
                <c:pt idx="74">
                  <c:v>64.031374827209973</c:v>
                </c:pt>
                <c:pt idx="75">
                  <c:v>65.090688914471087</c:v>
                </c:pt>
                <c:pt idx="76">
                  <c:v>66.161842810505433</c:v>
                </c:pt>
                <c:pt idx="77">
                  <c:v>67.245550691574749</c:v>
                </c:pt>
                <c:pt idx="78">
                  <c:v>68.342596696259719</c:v>
                </c:pt>
                <c:pt idx="79">
                  <c:v>69.453844471983871</c:v>
                </c:pt>
                <c:pt idx="80">
                  <c:v>70.580248412197378</c:v>
                </c:pt>
                <c:pt idx="81">
                  <c:v>71.722866956940081</c:v>
                </c:pt>
                <c:pt idx="82">
                  <c:v>72.882878429001721</c:v>
                </c:pt>
                <c:pt idx="83">
                  <c:v>74.061600008952595</c:v>
                </c:pt>
                <c:pt idx="84">
                  <c:v>75.260510626624011</c:v>
                </c:pt>
                <c:pt idx="85">
                  <c:v>76.481278780935639</c:v>
                </c:pt>
                <c:pt idx="86">
                  <c:v>77.725796618554256</c:v>
                </c:pt>
                <c:pt idx="87">
                  <c:v>78.996222040411297</c:v>
                </c:pt>
                <c:pt idx="88">
                  <c:v>80.295031216882364</c:v>
                </c:pt>
                <c:pt idx="89">
                  <c:v>81.625084758373433</c:v>
                </c:pt>
                <c:pt idx="90">
                  <c:v>82.989712033355531</c:v>
                </c:pt>
                <c:pt idx="91">
                  <c:v>84.392819948191146</c:v>
                </c:pt>
                <c:pt idx="92">
                  <c:v>85.839035221386354</c:v>
                </c:pt>
                <c:pt idx="93">
                  <c:v>87.33389332677018</c:v>
                </c:pt>
                <c:pt idx="94">
                  <c:v>88.884093742209672</c:v>
                </c:pt>
                <c:pt idx="95">
                  <c:v>90.497851493645939</c:v>
                </c:pt>
                <c:pt idx="96">
                  <c:v>92.185392076052963</c:v>
                </c:pt>
                <c:pt idx="97">
                  <c:v>93.959666029246307</c:v>
                </c:pt>
                <c:pt idx="98">
                  <c:v>95.837411317207</c:v>
                </c:pt>
                <c:pt idx="99">
                  <c:v>97.840788122967197</c:v>
                </c:pt>
                <c:pt idx="100">
                  <c:v>100.00000000000007</c:v>
                </c:pt>
              </c:numCache>
            </c:numRef>
          </c:xVal>
          <c:yVal>
            <c:numRef>
              <c:f>Diagram!$N$8:$N$108</c:f>
              <c:numCache>
                <c:formatCode>0.00</c:formatCode>
                <c:ptCount val="101"/>
                <c:pt idx="0">
                  <c:v>100.00000000000004</c:v>
                </c:pt>
                <c:pt idx="1">
                  <c:v>99.554107042045359</c:v>
                </c:pt>
                <c:pt idx="2">
                  <c:v>99.105283869623563</c:v>
                </c:pt>
                <c:pt idx="3">
                  <c:v>98.65347966535505</c:v>
                </c:pt>
                <c:pt idx="4">
                  <c:v>98.198642187884957</c:v>
                </c:pt>
                <c:pt idx="5">
                  <c:v>97.740717716768046</c:v>
                </c:pt>
                <c:pt idx="6">
                  <c:v>97.279650994629009</c:v>
                </c:pt>
                <c:pt idx="7">
                  <c:v>96.81538516643225</c:v>
                </c:pt>
                <c:pt idx="8">
                  <c:v>96.347861715685156</c:v>
                </c:pt>
                <c:pt idx="9">
                  <c:v>95.877020397387909</c:v>
                </c:pt>
                <c:pt idx="10">
                  <c:v>95.402799167524421</c:v>
                </c:pt>
                <c:pt idx="11">
                  <c:v>94.925134108879419</c:v>
                </c:pt>
                <c:pt idx="12">
                  <c:v>94.443959352946862</c:v>
                </c:pt>
                <c:pt idx="13">
                  <c:v>93.95920699767872</c:v>
                </c:pt>
                <c:pt idx="14">
                  <c:v>93.470807020804187</c:v>
                </c:pt>
                <c:pt idx="15">
                  <c:v>92.978687188428268</c:v>
                </c:pt>
                <c:pt idx="16">
                  <c:v>92.482772958595376</c:v>
                </c:pt>
                <c:pt idx="17">
                  <c:v>91.982987379481145</c:v>
                </c:pt>
                <c:pt idx="18">
                  <c:v>91.479250981845837</c:v>
                </c:pt>
                <c:pt idx="19">
                  <c:v>90.97148166535608</c:v>
                </c:pt>
                <c:pt idx="20">
                  <c:v>90.459594578347236</c:v>
                </c:pt>
                <c:pt idx="21">
                  <c:v>89.943501990566077</c:v>
                </c:pt>
                <c:pt idx="22">
                  <c:v>89.42311315839207</c:v>
                </c:pt>
                <c:pt idx="23">
                  <c:v>88.898334181996802</c:v>
                </c:pt>
                <c:pt idx="24">
                  <c:v>88.369067853851121</c:v>
                </c:pt>
                <c:pt idx="25">
                  <c:v>87.835213497942576</c:v>
                </c:pt>
                <c:pt idx="26">
                  <c:v>87.296666799006118</c:v>
                </c:pt>
                <c:pt idx="27">
                  <c:v>86.753319621012125</c:v>
                </c:pt>
                <c:pt idx="28">
                  <c:v>86.205059814087861</c:v>
                </c:pt>
                <c:pt idx="29">
                  <c:v>85.651771008970115</c:v>
                </c:pt>
                <c:pt idx="30">
                  <c:v>85.093332398009323</c:v>
                </c:pt>
                <c:pt idx="31">
                  <c:v>84.529618501649395</c:v>
                </c:pt>
                <c:pt idx="32">
                  <c:v>83.960498919207538</c:v>
                </c:pt>
                <c:pt idx="33">
                  <c:v>83.385838062666537</c:v>
                </c:pt>
                <c:pt idx="34">
                  <c:v>82.805494872064145</c:v>
                </c:pt>
                <c:pt idx="35">
                  <c:v>82.219322510928691</c:v>
                </c:pt>
                <c:pt idx="36">
                  <c:v>81.627168040050591</c:v>
                </c:pt>
                <c:pt idx="37">
                  <c:v>81.028872067709457</c:v>
                </c:pt>
                <c:pt idx="38">
                  <c:v>80.424268374281368</c:v>
                </c:pt>
                <c:pt idx="39">
                  <c:v>79.813183508934472</c:v>
                </c:pt>
                <c:pt idx="40">
                  <c:v>79.195436355878272</c:v>
                </c:pt>
                <c:pt idx="41">
                  <c:v>78.570837667358774</c:v>
                </c:pt>
                <c:pt idx="42">
                  <c:v>77.939189560285499</c:v>
                </c:pt>
                <c:pt idx="43">
                  <c:v>77.30028497302969</c:v>
                </c:pt>
                <c:pt idx="44">
                  <c:v>76.653907078543952</c:v>
                </c:pt>
                <c:pt idx="45">
                  <c:v>75.999828649510292</c:v>
                </c:pt>
                <c:pt idx="46">
                  <c:v>75.337811370725987</c:v>
                </c:pt>
                <c:pt idx="47">
                  <c:v>74.667605093365438</c:v>
                </c:pt>
                <c:pt idx="48">
                  <c:v>73.988947025114541</c:v>
                </c:pt>
                <c:pt idx="49">
                  <c:v>73.301560849432875</c:v>
                </c:pt>
                <c:pt idx="50">
                  <c:v>72.605155766362373</c:v>
                </c:pt>
                <c:pt idx="51">
                  <c:v>71.899425446334661</c:v>
                </c:pt>
                <c:pt idx="52">
                  <c:v>71.184046887325067</c:v>
                </c:pt>
                <c:pt idx="53">
                  <c:v>70.458679164430137</c:v>
                </c:pt>
                <c:pt idx="54">
                  <c:v>69.72296205947832</c:v>
                </c:pt>
                <c:pt idx="55">
                  <c:v>68.97651455658864</c:v>
                </c:pt>
                <c:pt idx="56">
                  <c:v>68.218933187626845</c:v>
                </c:pt>
                <c:pt idx="57">
                  <c:v>67.449790209224332</c:v>
                </c:pt>
                <c:pt idx="58">
                  <c:v>66.668631590362097</c:v>
                </c:pt>
                <c:pt idx="59">
                  <c:v>65.874974786410306</c:v>
                </c:pt>
                <c:pt idx="60">
                  <c:v>65.068306271861928</c:v>
                </c:pt>
                <c:pt idx="61">
                  <c:v>64.248078799705183</c:v>
                </c:pt>
                <c:pt idx="62">
                  <c:v>63.413708350311786</c:v>
                </c:pt>
                <c:pt idx="63">
                  <c:v>62.56457072671239</c:v>
                </c:pt>
                <c:pt idx="64">
                  <c:v>61.699997745996811</c:v>
                </c:pt>
                <c:pt idx="65">
                  <c:v>60.819272968061654</c:v>
                </c:pt>
                <c:pt idx="66">
                  <c:v>59.921626892731098</c:v>
                </c:pt>
                <c:pt idx="67">
                  <c:v>59.006231544012536</c:v>
                </c:pt>
                <c:pt idx="68">
                  <c:v>58.07219434543682</c:v>
                </c:pt>
                <c:pt idx="69">
                  <c:v>57.118551172462851</c:v>
                </c:pt>
                <c:pt idx="70">
                  <c:v>56.144258446024075</c:v>
                </c:pt>
                <c:pt idx="71">
                  <c:v>55.148184104465187</c:v>
                </c:pt>
                <c:pt idx="72">
                  <c:v>54.129097258089345</c:v>
                </c:pt>
                <c:pt idx="73">
                  <c:v>53.085656289647837</c:v>
                </c:pt>
                <c:pt idx="74">
                  <c:v>52.01639511320397</c:v>
                </c:pt>
                <c:pt idx="75">
                  <c:v>50.919707240051288</c:v>
                </c:pt>
                <c:pt idx="76">
                  <c:v>49.793827220013313</c:v>
                </c:pt>
                <c:pt idx="77">
                  <c:v>48.63680892449316</c:v>
                </c:pt>
                <c:pt idx="78">
                  <c:v>47.446500007341911</c:v>
                </c:pt>
                <c:pt idx="79">
                  <c:v>46.220511711840217</c:v>
                </c:pt>
                <c:pt idx="80">
                  <c:v>44.956182974321479</c:v>
                </c:pt>
                <c:pt idx="81">
                  <c:v>43.650537489887327</c:v>
                </c:pt>
                <c:pt idx="82">
                  <c:v>42.300232029062201</c:v>
                </c:pt>
                <c:pt idx="83">
                  <c:v>40.901493791846057</c:v>
                </c:pt>
                <c:pt idx="84">
                  <c:v>39.450043908413406</c:v>
                </c:pt>
                <c:pt idx="85">
                  <c:v>37.941003272536705</c:v>
                </c:pt>
                <c:pt idx="86">
                  <c:v>36.368775620046172</c:v>
                </c:pt>
                <c:pt idx="87">
                  <c:v>34.72690098401111</c:v>
                </c:pt>
                <c:pt idx="88">
                  <c:v>33.007870133621246</c:v>
                </c:pt>
                <c:pt idx="89">
                  <c:v>31.202886968396008</c:v>
                </c:pt>
                <c:pt idx="90">
                  <c:v>29.301560515835213</c:v>
                </c:pt>
                <c:pt idx="91">
                  <c:v>27.291500239580927</c:v>
                </c:pt>
                <c:pt idx="92">
                  <c:v>25.157776275776843</c:v>
                </c:pt>
                <c:pt idx="93">
                  <c:v>22.882187390383947</c:v>
                </c:pt>
                <c:pt idx="94">
                  <c:v>20.442249390375533</c:v>
                </c:pt>
                <c:pt idx="95">
                  <c:v>17.809767348245362</c:v>
                </c:pt>
                <c:pt idx="96">
                  <c:v>14.948771275386203</c:v>
                </c:pt>
                <c:pt idx="97">
                  <c:v>11.812447652357884</c:v>
                </c:pt>
                <c:pt idx="98">
                  <c:v>8.3384292644589202</c:v>
                </c:pt>
                <c:pt idx="99">
                  <c:v>4.4412860698458365</c:v>
                </c:pt>
                <c:pt idx="100">
                  <c:v>0</c:v>
                </c:pt>
              </c:numCache>
            </c:numRef>
          </c:yVal>
          <c:smooth val="1"/>
        </c:ser>
        <c:ser>
          <c:idx val="1"/>
          <c:order val="1"/>
          <c:tx>
            <c:strRef>
              <c:f>Diagram!$P$7</c:f>
              <c:strCache>
                <c:ptCount val="1"/>
                <c:pt idx="0">
                  <c:v>X21</c:v>
                </c:pt>
              </c:strCache>
            </c:strRef>
          </c:tx>
          <c:spPr>
            <a:ln w="25400" cap="rnd">
              <a:solidFill>
                <a:schemeClr val="accent5">
                  <a:lumMod val="75000"/>
                </a:schemeClr>
              </a:solidFill>
              <a:prstDash val="sysDash"/>
              <a:round/>
            </a:ln>
            <a:effectLst/>
          </c:spPr>
          <c:marker>
            <c:symbol val="none"/>
          </c:marker>
          <c:xVal>
            <c:numRef>
              <c:f>Diagram!$O$8:$O$158</c:f>
              <c:numCache>
                <c:formatCode>0.00</c:formatCode>
                <c:ptCount val="151"/>
                <c:pt idx="0">
                  <c:v>0</c:v>
                </c:pt>
                <c:pt idx="1">
                  <c:v>0.80225263929342994</c:v>
                </c:pt>
                <c:pt idx="2">
                  <c:v>1.6067372035755729</c:v>
                </c:pt>
                <c:pt idx="3">
                  <c:v>2.4135056436261069</c:v>
                </c:pt>
                <c:pt idx="4">
                  <c:v>3.2226119916241314</c:v>
                </c:pt>
                <c:pt idx="5">
                  <c:v>4.0341124782324211</c:v>
                </c:pt>
                <c:pt idx="6">
                  <c:v>4.8480656581674699</c:v>
                </c:pt>
                <c:pt idx="7">
                  <c:v>5.6645325450102488</c:v>
                </c:pt>
                <c:pt idx="8">
                  <c:v>6.4835767560924449</c:v>
                </c:pt>
                <c:pt idx="9">
                  <c:v>7.3052646683826943</c:v>
                </c:pt>
                <c:pt idx="10">
                  <c:v>8.1296655863982163</c:v>
                </c:pt>
                <c:pt idx="11">
                  <c:v>8.9568519232810981</c:v>
                </c:pt>
                <c:pt idx="12">
                  <c:v>9.7868993963068291</c:v>
                </c:pt>
                <c:pt idx="13">
                  <c:v>10.619887238238057</c:v>
                </c:pt>
                <c:pt idx="14">
                  <c:v>11.455898426101266</c:v>
                </c:pt>
                <c:pt idx="15">
                  <c:v>12.295019929151177</c:v>
                </c:pt>
                <c:pt idx="16">
                  <c:v>13.137342978000436</c:v>
                </c:pt>
                <c:pt idx="17">
                  <c:v>13.982963357135423</c:v>
                </c:pt>
                <c:pt idx="18">
                  <c:v>14.831981723316106</c:v>
                </c:pt>
                <c:pt idx="19">
                  <c:v>15.684503952676616</c:v>
                </c:pt>
                <c:pt idx="20">
                  <c:v>16.540641519708039</c:v>
                </c:pt>
                <c:pt idx="21">
                  <c:v>17.400511911726024</c:v>
                </c:pt>
                <c:pt idx="22">
                  <c:v>18.264239082911221</c:v>
                </c:pt>
                <c:pt idx="23">
                  <c:v>19.131953952572587</c:v>
                </c:pt>
                <c:pt idx="24">
                  <c:v>20.003794952936055</c:v>
                </c:pt>
                <c:pt idx="25">
                  <c:v>20.879908632519918</c:v>
                </c:pt>
                <c:pt idx="26">
                  <c:v>21.760450322044864</c:v>
                </c:pt>
                <c:pt idx="27">
                  <c:v>22.645584870863853</c:v>
                </c:pt>
                <c:pt idx="28">
                  <c:v>23.535487463116485</c:v>
                </c:pt>
                <c:pt idx="29">
                  <c:v>24.430344524248586</c:v>
                </c:pt>
                <c:pt idx="30">
                  <c:v>25.33035473023736</c:v>
                </c:pt>
                <c:pt idx="31">
                  <c:v>26.235730133879475</c:v>
                </c:pt>
                <c:pt idx="32">
                  <c:v>27.146697424902147</c:v>
                </c:pt>
                <c:pt idx="33">
                  <c:v>28.063499343532747</c:v>
                </c:pt>
                <c:pt idx="34">
                  <c:v>28.986396270615501</c:v>
                </c:pt>
                <c:pt idx="35">
                  <c:v>29.91566802152991</c:v>
                </c:pt>
                <c:pt idx="36">
                  <c:v>30.851615876214822</c:v>
                </c:pt>
                <c:pt idx="37">
                  <c:v>31.794564883749477</c:v>
                </c:pt>
                <c:pt idx="38">
                  <c:v>32.744866487468194</c:v>
                </c:pt>
                <c:pt idx="39">
                  <c:v>33.702901525840879</c:v>
                </c:pt>
                <c:pt idx="40">
                  <c:v>34.669083675804309</c:v>
                </c:pt>
                <c:pt idx="41">
                  <c:v>35.643863419478997</c:v>
                </c:pt>
                <c:pt idx="42">
                  <c:v>36.627732633049852</c:v>
                </c:pt>
                <c:pt idx="43">
                  <c:v>37.621229919076526</c:v>
                </c:pt>
                <c:pt idx="44">
                  <c:v>38.624946832039178</c:v>
                </c:pt>
                <c:pt idx="45">
                  <c:v>39.639535183411823</c:v>
                </c:pt>
                <c:pt idx="46">
                  <c:v>40.665715659570672</c:v>
                </c:pt>
                <c:pt idx="47">
                  <c:v>41.70428804693158</c:v>
                </c:pt>
                <c:pt idx="48">
                  <c:v>42.756143438795547</c:v>
                </c:pt>
                <c:pt idx="49">
                  <c:v>43.82227890437558</c:v>
                </c:pt>
                <c:pt idx="50">
                  <c:v>44.903815242214264</c:v>
                </c:pt>
                <c:pt idx="51">
                  <c:v>46.002018631828001</c:v>
                </c:pt>
                <c:pt idx="52">
                  <c:v>47.118327259599333</c:v>
                </c:pt>
                <c:pt idx="53">
                  <c:v>48.254384358311121</c:v>
                </c:pt>
                <c:pt idx="54">
                  <c:v>49.412079610428393</c:v>
                </c:pt>
                <c:pt idx="55">
                  <c:v>50.593601594061617</c:v>
                </c:pt>
                <c:pt idx="56">
                  <c:v>51.801505008164909</c:v>
                </c:pt>
                <c:pt idx="57">
                  <c:v>53.038797976699712</c:v>
                </c:pt>
                <c:pt idx="58">
                  <c:v>54.309057089261053</c:v>
                </c:pt>
                <c:pt idx="59">
                  <c:v>55.616581473008573</c:v>
                </c:pt>
                <c:pt idx="60">
                  <c:v>56.966602945335531</c:v>
                </c:pt>
                <c:pt idx="61">
                  <c:v>58.365578662985882</c:v>
                </c:pt>
                <c:pt idx="62">
                  <c:v>59.821608426854709</c:v>
                </c:pt>
                <c:pt idx="63">
                  <c:v>61.34504625849808</c:v>
                </c:pt>
                <c:pt idx="64">
                  <c:v>62.949425837025544</c:v>
                </c:pt>
                <c:pt idx="65">
                  <c:v>64.652915003943505</c:v>
                </c:pt>
                <c:pt idx="66">
                  <c:v>66.480708731283158</c:v>
                </c:pt>
                <c:pt idx="67">
                  <c:v>68.469193867336216</c:v>
                </c:pt>
                <c:pt idx="68">
                  <c:v>70.673731372354197</c:v>
                </c:pt>
                <c:pt idx="69">
                  <c:v>71.608434888713617</c:v>
                </c:pt>
                <c:pt idx="70">
                  <c:v>72.541784693722022</c:v>
                </c:pt>
                <c:pt idx="71">
                  <c:v>73.473802046254576</c:v>
                </c:pt>
                <c:pt idx="72">
                  <c:v>74.404507576783288</c:v>
                </c:pt>
                <c:pt idx="73">
                  <c:v>75.333921314417864</c:v>
                </c:pt>
                <c:pt idx="74">
                  <c:v>76.262062712428872</c:v>
                </c:pt>
                <c:pt idx="75">
                  <c:v>77.188950672357052</c:v>
                </c:pt>
                <c:pt idx="76">
                  <c:v>78.114603566806082</c:v>
                </c:pt>
                <c:pt idx="77">
                  <c:v>79.039039261005598</c:v>
                </c:pt>
                <c:pt idx="78">
                  <c:v>79.96227513322691</c:v>
                </c:pt>
                <c:pt idx="79">
                  <c:v>80.88432809412663</c:v>
                </c:pt>
                <c:pt idx="80">
                  <c:v>81.805214605085808</c:v>
                </c:pt>
                <c:pt idx="81">
                  <c:v>82.724950695610985</c:v>
                </c:pt>
                <c:pt idx="82">
                  <c:v>83.643551979853427</c:v>
                </c:pt>
                <c:pt idx="83">
                  <c:v>84.56103367230422</c:v>
                </c:pt>
                <c:pt idx="84">
                  <c:v>85.477410602713434</c:v>
                </c:pt>
                <c:pt idx="85">
                  <c:v>86.392697230281925</c:v>
                </c:pt>
                <c:pt idx="86">
                  <c:v>87.306907657168537</c:v>
                </c:pt>
                <c:pt idx="87">
                  <c:v>88.220055641354421</c:v>
                </c:pt>
                <c:pt idx="88">
                  <c:v>89.132154608900066</c:v>
                </c:pt>
                <c:pt idx="89">
                  <c:v>90.043217665632881</c:v>
                </c:pt>
                <c:pt idx="90">
                  <c:v>90.953257608296255</c:v>
                </c:pt>
                <c:pt idx="91">
                  <c:v>91.862286935189971</c:v>
                </c:pt>
                <c:pt idx="92">
                  <c:v>92.770317856332895</c:v>
                </c:pt>
                <c:pt idx="93">
                  <c:v>93.677362303171847</c:v>
                </c:pt>
                <c:pt idx="94">
                  <c:v>94.583431937863196</c:v>
                </c:pt>
                <c:pt idx="95">
                  <c:v>95.48853816214995</c:v>
                </c:pt>
                <c:pt idx="96">
                  <c:v>96.392692125855135</c:v>
                </c:pt>
                <c:pt idx="97">
                  <c:v>97.295904735013039</c:v>
                </c:pt>
                <c:pt idx="98">
                  <c:v>98.198186659657551</c:v>
                </c:pt>
                <c:pt idx="99">
                  <c:v>99.099548341283381</c:v>
                </c:pt>
                <c:pt idx="100">
                  <c:v>100.00000000000007</c:v>
                </c:pt>
                <c:pt idx="101">
                  <c:v>100.89955164139084</c:v>
                </c:pt>
                <c:pt idx="102">
                  <c:v>101.79821306309545</c:v>
                </c:pt>
                <c:pt idx="103">
                  <c:v>102.69599386112667</c:v>
                </c:pt>
                <c:pt idx="104">
                  <c:v>103.59290343593578</c:v>
                </c:pt>
                <c:pt idx="105">
                  <c:v>104.48895099824027</c:v>
                </c:pt>
                <c:pt idx="106">
                  <c:v>105.38414557462247</c:v>
                </c:pt>
                <c:pt idx="107">
                  <c:v>106.27849601291271</c:v>
                </c:pt>
                <c:pt idx="108">
                  <c:v>107.17201098736592</c:v>
                </c:pt>
                <c:pt idx="109">
                  <c:v>108.06469900364165</c:v>
                </c:pt>
                <c:pt idx="110">
                  <c:v>108.95656840359747</c:v>
                </c:pt>
                <c:pt idx="111">
                  <c:v>109.84762736990294</c:v>
                </c:pt>
                <c:pt idx="112">
                  <c:v>110.73788393048417</c:v>
                </c:pt>
                <c:pt idx="113">
                  <c:v>111.62734596280468</c:v>
                </c:pt>
                <c:pt idx="114">
                  <c:v>112.51602119799165</c:v>
                </c:pt>
                <c:pt idx="115">
                  <c:v>113.40391722481378</c:v>
                </c:pt>
                <c:pt idx="116">
                  <c:v>114.29104149351753</c:v>
                </c:pt>
                <c:pt idx="117">
                  <c:v>115.17740131952729</c:v>
                </c:pt>
                <c:pt idx="118">
                  <c:v>116.06300388701595</c:v>
                </c:pt>
                <c:pt idx="119">
                  <c:v>116.94785625235245</c:v>
                </c:pt>
                <c:pt idx="120">
                  <c:v>117.83196534742949</c:v>
                </c:pt>
                <c:pt idx="121">
                  <c:v>118.715337982878</c:v>
                </c:pt>
                <c:pt idx="122">
                  <c:v>119.59798085117254</c:v>
                </c:pt>
                <c:pt idx="123">
                  <c:v>120.47990052963273</c:v>
                </c:pt>
                <c:pt idx="124">
                  <c:v>121.36110348332481</c:v>
                </c:pt>
                <c:pt idx="125">
                  <c:v>122.24159606786614</c:v>
                </c:pt>
                <c:pt idx="126">
                  <c:v>123.12138453213906</c:v>
                </c:pt>
                <c:pt idx="127">
                  <c:v>124.00047502091641</c:v>
                </c:pt>
                <c:pt idx="128">
                  <c:v>124.87887357740087</c:v>
                </c:pt>
                <c:pt idx="129">
                  <c:v>125.75658614568496</c:v>
                </c:pt>
                <c:pt idx="130">
                  <c:v>126.63361857313114</c:v>
                </c:pt>
                <c:pt idx="131">
                  <c:v>127.50997661267837</c:v>
                </c:pt>
                <c:pt idx="132">
                  <c:v>128.38566592507522</c:v>
                </c:pt>
                <c:pt idx="133">
                  <c:v>129.26069208104462</c:v>
                </c:pt>
                <c:pt idx="134">
                  <c:v>130.13506056338113</c:v>
                </c:pt>
                <c:pt idx="135">
                  <c:v>131.00877676898492</c:v>
                </c:pt>
                <c:pt idx="136">
                  <c:v>131.88184601083273</c:v>
                </c:pt>
                <c:pt idx="137">
                  <c:v>132.75427351989092</c:v>
                </c:pt>
                <c:pt idx="138">
                  <c:v>133.62606444697033</c:v>
                </c:pt>
                <c:pt idx="139">
                  <c:v>134.49722386452603</c:v>
                </c:pt>
                <c:pt idx="140">
                  <c:v>135.36775676840486</c:v>
                </c:pt>
                <c:pt idx="141">
                  <c:v>136.2376680795405</c:v>
                </c:pt>
                <c:pt idx="142">
                  <c:v>137.1069626456003</c:v>
                </c:pt>
                <c:pt idx="143">
                  <c:v>137.97564524258431</c:v>
                </c:pt>
                <c:pt idx="144">
                  <c:v>138.84372057637836</c:v>
                </c:pt>
                <c:pt idx="145">
                  <c:v>139.71119328426289</c:v>
                </c:pt>
                <c:pt idx="146">
                  <c:v>140.57806793637951</c:v>
                </c:pt>
                <c:pt idx="147">
                  <c:v>141.44434903715563</c:v>
                </c:pt>
                <c:pt idx="148">
                  <c:v>142.31004102669019</c:v>
                </c:pt>
                <c:pt idx="149">
                  <c:v>143.17514828210068</c:v>
                </c:pt>
                <c:pt idx="150">
                  <c:v>144.03967511883266</c:v>
                </c:pt>
              </c:numCache>
            </c:numRef>
          </c:xVal>
          <c:yVal>
            <c:numRef>
              <c:f>Diagram!$P$8:$P$158</c:f>
              <c:numCache>
                <c:formatCode>0.00</c:formatCode>
                <c:ptCount val="151"/>
                <c:pt idx="0">
                  <c:v>85.704488060219077</c:v>
                </c:pt>
                <c:pt idx="1">
                  <c:v>85.141636019673243</c:v>
                </c:pt>
                <c:pt idx="2">
                  <c:v>84.573308660117746</c:v>
                </c:pt>
                <c:pt idx="3">
                  <c:v>83.999364723006579</c:v>
                </c:pt>
                <c:pt idx="4">
                  <c:v>83.419657032233985</c:v>
                </c:pt>
                <c:pt idx="5">
                  <c:v>82.83403215001411</c:v>
                </c:pt>
                <c:pt idx="6">
                  <c:v>82.242330007063089</c:v>
                </c:pt>
                <c:pt idx="7">
                  <c:v>81.644383504730143</c:v>
                </c:pt>
                <c:pt idx="8">
                  <c:v>81.040018086469445</c:v>
                </c:pt>
                <c:pt idx="9">
                  <c:v>80.429051275756194</c:v>
                </c:pt>
                <c:pt idx="10">
                  <c:v>79.811292177224672</c:v>
                </c:pt>
                <c:pt idx="11">
                  <c:v>79.186540937439119</c:v>
                </c:pt>
                <c:pt idx="12">
                  <c:v>78.554588161289374</c:v>
                </c:pt>
                <c:pt idx="13">
                  <c:v>77.915214279533188</c:v>
                </c:pt>
                <c:pt idx="14">
                  <c:v>77.268188862466928</c:v>
                </c:pt>
                <c:pt idx="15">
                  <c:v>76.613269874093547</c:v>
                </c:pt>
                <c:pt idx="16">
                  <c:v>75.95020286045731</c:v>
                </c:pt>
                <c:pt idx="17">
                  <c:v>75.278720065012138</c:v>
                </c:pt>
                <c:pt idx="18">
                  <c:v>74.598539462970024</c:v>
                </c:pt>
                <c:pt idx="19">
                  <c:v>73.909363705518189</c:v>
                </c:pt>
                <c:pt idx="20">
                  <c:v>73.210878963572739</c:v>
                </c:pt>
                <c:pt idx="21">
                  <c:v>72.502753659325748</c:v>
                </c:pt>
                <c:pt idx="22">
                  <c:v>71.784637072206053</c:v>
                </c:pt>
                <c:pt idx="23">
                  <c:v>71.056157803974344</c:v>
                </c:pt>
                <c:pt idx="24">
                  <c:v>70.316922085453399</c:v>
                </c:pt>
                <c:pt idx="25">
                  <c:v>69.566511904805211</c:v>
                </c:pt>
                <c:pt idx="26">
                  <c:v>68.804482934223728</c:v>
                </c:pt>
                <c:pt idx="27">
                  <c:v>68.030362228335875</c:v>
                </c:pt>
                <c:pt idx="28">
                  <c:v>67.243645663377137</c:v>
                </c:pt>
                <c:pt idx="29">
                  <c:v>66.443795081205508</c:v>
                </c:pt>
                <c:pt idx="30">
                  <c:v>65.630235096261273</c:v>
                </c:pt>
                <c:pt idx="31">
                  <c:v>64.802349516479481</c:v>
                </c:pt>
                <c:pt idx="32">
                  <c:v>63.959477320641611</c:v>
                </c:pt>
                <c:pt idx="33">
                  <c:v>63.100908124408456</c:v>
                </c:pt>
                <c:pt idx="34">
                  <c:v>62.225877054885494</c:v>
                </c:pt>
                <c:pt idx="35">
                  <c:v>61.333558938532981</c:v>
                </c:pt>
                <c:pt idx="36">
                  <c:v>60.423061688879422</c:v>
                </c:pt>
                <c:pt idx="37">
                  <c:v>59.493418757995329</c:v>
                </c:pt>
                <c:pt idx="38">
                  <c:v>58.543580487944567</c:v>
                </c:pt>
                <c:pt idx="39">
                  <c:v>57.572404164047285</c:v>
                </c:pt>
                <c:pt idx="40">
                  <c:v>56.578642528918628</c:v>
                </c:pt>
                <c:pt idx="41">
                  <c:v>55.560930462465492</c:v>
                </c:pt>
                <c:pt idx="42">
                  <c:v>54.517769465111726</c:v>
                </c:pt>
                <c:pt idx="43">
                  <c:v>53.447509495174522</c:v>
                </c:pt>
                <c:pt idx="44">
                  <c:v>52.348327600715912</c:v>
                </c:pt>
                <c:pt idx="45">
                  <c:v>51.218202643435049</c:v>
                </c:pt>
                <c:pt idx="46">
                  <c:v>50.054885226358678</c:v>
                </c:pt>
                <c:pt idx="47">
                  <c:v>48.855861693111692</c:v>
                </c:pt>
                <c:pt idx="48">
                  <c:v>47.618310743161203</c:v>
                </c:pt>
                <c:pt idx="49">
                  <c:v>46.339050774429111</c:v>
                </c:pt>
                <c:pt idx="50">
                  <c:v>45.01447547859631</c:v>
                </c:pt>
                <c:pt idx="51">
                  <c:v>43.640474411848253</c:v>
                </c:pt>
                <c:pt idx="52">
                  <c:v>42.212334150835318</c:v>
                </c:pt>
                <c:pt idx="53">
                  <c:v>40.72461407899511</c:v>
                </c:pt>
                <c:pt idx="54">
                  <c:v>39.17098861598474</c:v>
                </c:pt>
                <c:pt idx="55">
                  <c:v>37.544044465896597</c:v>
                </c:pt>
                <c:pt idx="56">
                  <c:v>35.835016682205129</c:v>
                </c:pt>
                <c:pt idx="57">
                  <c:v>34.033440157108878</c:v>
                </c:pt>
                <c:pt idx="58">
                  <c:v>32.126682086394844</c:v>
                </c:pt>
                <c:pt idx="59">
                  <c:v>30.099303547548462</c:v>
                </c:pt>
                <c:pt idx="60">
                  <c:v>27.932170159848326</c:v>
                </c:pt>
                <c:pt idx="61">
                  <c:v>25.601184832735008</c:v>
                </c:pt>
                <c:pt idx="62">
                  <c:v>23.075434588089738</c:v>
                </c:pt>
                <c:pt idx="63">
                  <c:v>20.314398071328426</c:v>
                </c:pt>
                <c:pt idx="64">
                  <c:v>17.263587408868709</c:v>
                </c:pt>
                <c:pt idx="65">
                  <c:v>13.847457472354453</c:v>
                </c:pt>
                <c:pt idx="66">
                  <c:v>9.9572746788007134</c:v>
                </c:pt>
                <c:pt idx="67">
                  <c:v>5.4290361425013529</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numCache>
            </c:numRef>
          </c:yVal>
          <c:smooth val="1"/>
        </c:ser>
        <c:ser>
          <c:idx val="2"/>
          <c:order val="2"/>
          <c:tx>
            <c:strRef>
              <c:f>Diagram!$Q$7</c:f>
              <c:strCache>
                <c:ptCount val="1"/>
                <c:pt idx="0">
                  <c:v>X2U0</c:v>
                </c:pt>
              </c:strCache>
            </c:strRef>
          </c:tx>
          <c:spPr>
            <a:ln w="25400" cap="rnd">
              <a:solidFill>
                <a:schemeClr val="accent2">
                  <a:lumMod val="75000"/>
                </a:schemeClr>
              </a:solidFill>
              <a:round/>
            </a:ln>
            <a:effectLst/>
          </c:spPr>
          <c:marker>
            <c:symbol val="none"/>
          </c:marker>
          <c:xVal>
            <c:numRef>
              <c:f>Diagram!$M$8:$M$158</c:f>
              <c:numCache>
                <c:formatCode>0.00</c:formatCode>
                <c:ptCount val="151"/>
                <c:pt idx="0">
                  <c:v>0</c:v>
                </c:pt>
                <c:pt idx="1">
                  <c:v>0.77156162826173658</c:v>
                </c:pt>
                <c:pt idx="2">
                  <c:v>1.5445728896715631</c:v>
                </c:pt>
                <c:pt idx="3">
                  <c:v>2.3190564672868423</c:v>
                </c:pt>
                <c:pt idx="4">
                  <c:v>3.0950356522444076</c:v>
                </c:pt>
                <c:pt idx="5">
                  <c:v>3.8725343665384724</c:v>
                </c:pt>
                <c:pt idx="6">
                  <c:v>4.6515771868924531</c:v>
                </c:pt>
                <c:pt idx="7">
                  <c:v>5.4321893697888566</c:v>
                </c:pt>
                <c:pt idx="8">
                  <c:v>6.2143968777258687</c:v>
                </c:pt>
                <c:pt idx="9">
                  <c:v>6.9982264067740427</c:v>
                </c:pt>
                <c:pt idx="10">
                  <c:v>7.7837054155117107</c:v>
                </c:pt>
                <c:pt idx="11">
                  <c:v>8.570862155423411</c:v>
                </c:pt>
                <c:pt idx="12">
                  <c:v>9.359725702851641</c:v>
                </c:pt>
                <c:pt idx="13">
                  <c:v>10.150325992598873</c:v>
                </c:pt>
                <c:pt idx="14">
                  <c:v>10.942693853283988</c:v>
                </c:pt>
                <c:pt idx="15">
                  <c:v>11.736861044565037</c:v>
                </c:pt>
                <c:pt idx="16">
                  <c:v>12.532860296348504</c:v>
                </c:pt>
                <c:pt idx="17">
                  <c:v>13.330725350114895</c:v>
                </c:pt>
                <c:pt idx="18">
                  <c:v>14.130491002499822</c:v>
                </c:pt>
                <c:pt idx="19">
                  <c:v>14.93219315128132</c:v>
                </c:pt>
                <c:pt idx="20">
                  <c:v>15.735868843935442</c:v>
                </c:pt>
                <c:pt idx="21">
                  <c:v>16.541556328935545</c:v>
                </c:pt>
                <c:pt idx="22">
                  <c:v>17.349295109984606</c:v>
                </c:pt>
                <c:pt idx="23">
                  <c:v>18.159126003385513</c:v>
                </c:pt>
                <c:pt idx="24">
                  <c:v>18.971091198771237</c:v>
                </c:pt>
                <c:pt idx="25">
                  <c:v>19.785234323435215</c:v>
                </c:pt>
                <c:pt idx="26">
                  <c:v>20.601600510522971</c:v>
                </c:pt>
                <c:pt idx="27">
                  <c:v>21.420236471367968</c:v>
                </c:pt>
                <c:pt idx="28">
                  <c:v>22.24119057227988</c:v>
                </c:pt>
                <c:pt idx="29">
                  <c:v>23.064512916119888</c:v>
                </c:pt>
                <c:pt idx="30">
                  <c:v>23.890255429028002</c:v>
                </c:pt>
                <c:pt idx="31">
                  <c:v>24.718471952700337</c:v>
                </c:pt>
                <c:pt idx="32">
                  <c:v>25.549218342650196</c:v>
                </c:pt>
                <c:pt idx="33">
                  <c:v>26.38255257292775</c:v>
                </c:pt>
                <c:pt idx="34">
                  <c:v>27.2185348478172</c:v>
                </c:pt>
                <c:pt idx="35">
                  <c:v>28.057227721080075</c:v>
                </c:pt>
                <c:pt idx="36">
                  <c:v>28.898696223368312</c:v>
                </c:pt>
                <c:pt idx="37">
                  <c:v>29.743007998491269</c:v>
                </c:pt>
                <c:pt idx="38">
                  <c:v>30.590233449290132</c:v>
                </c:pt>
                <c:pt idx="39">
                  <c:v>31.440445893947565</c:v>
                </c:pt>
                <c:pt idx="40">
                  <c:v>32.293721733646663</c:v>
                </c:pt>
                <c:pt idx="41">
                  <c:v>33.150140632587174</c:v>
                </c:pt>
                <c:pt idx="42">
                  <c:v>34.009785711473974</c:v>
                </c:pt>
                <c:pt idx="43">
                  <c:v>34.872743755711738</c:v>
                </c:pt>
                <c:pt idx="44">
                  <c:v>35.739105439674354</c:v>
                </c:pt>
                <c:pt idx="45">
                  <c:v>36.608965568568486</c:v>
                </c:pt>
                <c:pt idx="46">
                  <c:v>37.482423339581807</c:v>
                </c:pt>
                <c:pt idx="47">
                  <c:v>38.359582624199014</c:v>
                </c:pt>
                <c:pt idx="48">
                  <c:v>39.240552273787536</c:v>
                </c:pt>
                <c:pt idx="49">
                  <c:v>40.12544645080277</c:v>
                </c:pt>
                <c:pt idx="50">
                  <c:v>41.014384988245091</c:v>
                </c:pt>
                <c:pt idx="51">
                  <c:v>41.907493780322248</c:v>
                </c:pt>
                <c:pt idx="52">
                  <c:v>42.804905207638313</c:v>
                </c:pt>
                <c:pt idx="53">
                  <c:v>43.706758600650737</c:v>
                </c:pt>
                <c:pt idx="54">
                  <c:v>44.613200745620148</c:v>
                </c:pt>
                <c:pt idx="55">
                  <c:v>45.524386437831943</c:v>
                </c:pt>
                <c:pt idx="56">
                  <c:v>46.440479087509694</c:v>
                </c:pt>
                <c:pt idx="57">
                  <c:v>47.36165138458027</c:v>
                </c:pt>
                <c:pt idx="58">
                  <c:v>48.288086029308644</c:v>
                </c:pt>
                <c:pt idx="59">
                  <c:v>49.219976536818351</c:v>
                </c:pt>
                <c:pt idx="60">
                  <c:v>50.157528124676219</c:v>
                </c:pt>
                <c:pt idx="61">
                  <c:v>51.100958694081193</c:v>
                </c:pt>
                <c:pt idx="62">
                  <c:v>52.050499916791644</c:v>
                </c:pt>
                <c:pt idx="63">
                  <c:v>53.006398441805089</c:v>
                </c:pt>
                <c:pt idx="64">
                  <c:v>53.968917238021319</c:v>
                </c:pt>
                <c:pt idx="65">
                  <c:v>54.938337091749617</c:v>
                </c:pt>
                <c:pt idx="66">
                  <c:v>55.914958281046808</c:v>
                </c:pt>
                <c:pt idx="67">
                  <c:v>56.899102452608773</c:v>
                </c:pt>
                <c:pt idx="68">
                  <c:v>57.891114731413381</c:v>
                </c:pt>
                <c:pt idx="69">
                  <c:v>58.891366098705397</c:v>
                </c:pt>
                <c:pt idx="70">
                  <c:v>59.900256080433095</c:v>
                </c:pt>
                <c:pt idx="71">
                  <c:v>60.918215796167502</c:v>
                </c:pt>
                <c:pt idx="72">
                  <c:v>61.945711428207908</c:v>
                </c:pt>
                <c:pt idx="73">
                  <c:v>62.983248182446381</c:v>
                </c:pt>
                <c:pt idx="74">
                  <c:v>64.031374827209973</c:v>
                </c:pt>
                <c:pt idx="75">
                  <c:v>65.090688914471087</c:v>
                </c:pt>
                <c:pt idx="76">
                  <c:v>66.161842810505433</c:v>
                </c:pt>
                <c:pt idx="77">
                  <c:v>67.245550691574749</c:v>
                </c:pt>
                <c:pt idx="78">
                  <c:v>68.342596696259719</c:v>
                </c:pt>
                <c:pt idx="79">
                  <c:v>69.453844471983871</c:v>
                </c:pt>
                <c:pt idx="80">
                  <c:v>70.580248412197378</c:v>
                </c:pt>
                <c:pt idx="81">
                  <c:v>71.722866956940081</c:v>
                </c:pt>
                <c:pt idx="82">
                  <c:v>72.882878429001721</c:v>
                </c:pt>
                <c:pt idx="83">
                  <c:v>74.061600008952595</c:v>
                </c:pt>
                <c:pt idx="84">
                  <c:v>75.260510626624011</c:v>
                </c:pt>
                <c:pt idx="85">
                  <c:v>76.481278780935639</c:v>
                </c:pt>
                <c:pt idx="86">
                  <c:v>77.725796618554256</c:v>
                </c:pt>
                <c:pt idx="87">
                  <c:v>78.996222040411297</c:v>
                </c:pt>
                <c:pt idx="88">
                  <c:v>80.295031216882364</c:v>
                </c:pt>
                <c:pt idx="89">
                  <c:v>81.625084758373433</c:v>
                </c:pt>
                <c:pt idx="90">
                  <c:v>82.989712033355531</c:v>
                </c:pt>
                <c:pt idx="91">
                  <c:v>84.392819948191146</c:v>
                </c:pt>
                <c:pt idx="92">
                  <c:v>85.839035221386354</c:v>
                </c:pt>
                <c:pt idx="93">
                  <c:v>87.33389332677018</c:v>
                </c:pt>
                <c:pt idx="94">
                  <c:v>88.884093742209672</c:v>
                </c:pt>
                <c:pt idx="95">
                  <c:v>90.497851493645939</c:v>
                </c:pt>
                <c:pt idx="96">
                  <c:v>92.185392076052963</c:v>
                </c:pt>
                <c:pt idx="97">
                  <c:v>93.959666029246307</c:v>
                </c:pt>
                <c:pt idx="98">
                  <c:v>95.837411317207</c:v>
                </c:pt>
                <c:pt idx="99">
                  <c:v>97.840788122967197</c:v>
                </c:pt>
                <c:pt idx="100">
                  <c:v>100.00000000000007</c:v>
                </c:pt>
                <c:pt idx="101">
                  <c:v>100.89955164139084</c:v>
                </c:pt>
                <c:pt idx="102">
                  <c:v>101.79821306309545</c:v>
                </c:pt>
                <c:pt idx="103">
                  <c:v>102.69599386112667</c:v>
                </c:pt>
                <c:pt idx="104">
                  <c:v>103.59290343593578</c:v>
                </c:pt>
                <c:pt idx="105">
                  <c:v>104.48895099824027</c:v>
                </c:pt>
                <c:pt idx="106">
                  <c:v>105.38414557462247</c:v>
                </c:pt>
                <c:pt idx="107">
                  <c:v>106.27849601291271</c:v>
                </c:pt>
                <c:pt idx="108">
                  <c:v>107.17201098736592</c:v>
                </c:pt>
                <c:pt idx="109">
                  <c:v>108.06469900364165</c:v>
                </c:pt>
                <c:pt idx="110">
                  <c:v>108.95656840359747</c:v>
                </c:pt>
                <c:pt idx="111">
                  <c:v>109.84762736990294</c:v>
                </c:pt>
                <c:pt idx="112">
                  <c:v>110.73788393048417</c:v>
                </c:pt>
                <c:pt idx="113">
                  <c:v>111.62734596280468</c:v>
                </c:pt>
                <c:pt idx="114">
                  <c:v>112.51602119799165</c:v>
                </c:pt>
                <c:pt idx="115">
                  <c:v>113.40391722481378</c:v>
                </c:pt>
                <c:pt idx="116">
                  <c:v>114.29104149351753</c:v>
                </c:pt>
                <c:pt idx="117">
                  <c:v>115.17740131952729</c:v>
                </c:pt>
                <c:pt idx="118">
                  <c:v>116.06300388701595</c:v>
                </c:pt>
                <c:pt idx="119">
                  <c:v>116.94785625235245</c:v>
                </c:pt>
                <c:pt idx="120">
                  <c:v>117.83196534742949</c:v>
                </c:pt>
                <c:pt idx="121">
                  <c:v>118.715337982878</c:v>
                </c:pt>
                <c:pt idx="122">
                  <c:v>119.59798085117254</c:v>
                </c:pt>
                <c:pt idx="123">
                  <c:v>120.47990052963273</c:v>
                </c:pt>
                <c:pt idx="124">
                  <c:v>121.36110348332481</c:v>
                </c:pt>
                <c:pt idx="125">
                  <c:v>122.24159606786614</c:v>
                </c:pt>
                <c:pt idx="126">
                  <c:v>123.12138453213906</c:v>
                </c:pt>
                <c:pt idx="127">
                  <c:v>124.00047502091641</c:v>
                </c:pt>
                <c:pt idx="128">
                  <c:v>124.87887357740087</c:v>
                </c:pt>
                <c:pt idx="129">
                  <c:v>125.75658614568496</c:v>
                </c:pt>
                <c:pt idx="130">
                  <c:v>126.63361857313114</c:v>
                </c:pt>
                <c:pt idx="131">
                  <c:v>127.50997661267837</c:v>
                </c:pt>
                <c:pt idx="132">
                  <c:v>128.38566592507522</c:v>
                </c:pt>
                <c:pt idx="133">
                  <c:v>129.26069208104462</c:v>
                </c:pt>
                <c:pt idx="134">
                  <c:v>130.13506056338113</c:v>
                </c:pt>
                <c:pt idx="135">
                  <c:v>131.00877676898492</c:v>
                </c:pt>
                <c:pt idx="136">
                  <c:v>131.88184601083273</c:v>
                </c:pt>
                <c:pt idx="137">
                  <c:v>132.75427351989092</c:v>
                </c:pt>
                <c:pt idx="138">
                  <c:v>133.62606444697033</c:v>
                </c:pt>
                <c:pt idx="139">
                  <c:v>134.49722386452603</c:v>
                </c:pt>
                <c:pt idx="140">
                  <c:v>135.36775676840486</c:v>
                </c:pt>
                <c:pt idx="141">
                  <c:v>136.2376680795405</c:v>
                </c:pt>
                <c:pt idx="142">
                  <c:v>137.1069626456003</c:v>
                </c:pt>
                <c:pt idx="143">
                  <c:v>137.97564524258431</c:v>
                </c:pt>
                <c:pt idx="144">
                  <c:v>138.84372057637836</c:v>
                </c:pt>
                <c:pt idx="145">
                  <c:v>139.71119328426289</c:v>
                </c:pt>
                <c:pt idx="146">
                  <c:v>140.57806793637951</c:v>
                </c:pt>
                <c:pt idx="147">
                  <c:v>141.44434903715563</c:v>
                </c:pt>
                <c:pt idx="148">
                  <c:v>142.31004102669019</c:v>
                </c:pt>
                <c:pt idx="149">
                  <c:v>143.17514828210068</c:v>
                </c:pt>
                <c:pt idx="150">
                  <c:v>144.03967511883266</c:v>
                </c:pt>
              </c:numCache>
            </c:numRef>
          </c:xVal>
          <c:yVal>
            <c:numRef>
              <c:f>Diagram!$Q$8:$Q$158</c:f>
              <c:numCache>
                <c:formatCode>General</c:formatCode>
                <c:ptCount val="151"/>
                <c:pt idx="1">
                  <c:v>1727850.1835157152</c:v>
                </c:pt>
                <c:pt idx="2">
                  <c:v>342098.56097511383</c:v>
                </c:pt>
                <c:pt idx="3">
                  <c:v>132529.05790878923</c:v>
                </c:pt>
                <c:pt idx="4">
                  <c:v>67579.919181827921</c:v>
                </c:pt>
                <c:pt idx="5">
                  <c:v>40060.393506490516</c:v>
                </c:pt>
                <c:pt idx="6">
                  <c:v>26119.828706539949</c:v>
                </c:pt>
                <c:pt idx="7">
                  <c:v>18187.071011867592</c:v>
                </c:pt>
                <c:pt idx="8">
                  <c:v>13287.396632769365</c:v>
                </c:pt>
                <c:pt idx="9">
                  <c:v>10070.836812088648</c:v>
                </c:pt>
                <c:pt idx="10">
                  <c:v>7857.2267462345053</c:v>
                </c:pt>
                <c:pt idx="11">
                  <c:v>6275.4808401716273</c:v>
                </c:pt>
                <c:pt idx="12">
                  <c:v>5110.031558596409</c:v>
                </c:pt>
                <c:pt idx="13">
                  <c:v>4229.1285650321188</c:v>
                </c:pt>
                <c:pt idx="14">
                  <c:v>3548.7953160488091</c:v>
                </c:pt>
                <c:pt idx="15">
                  <c:v>3013.5815768492621</c:v>
                </c:pt>
                <c:pt idx="16">
                  <c:v>2585.7531882820413</c:v>
                </c:pt>
                <c:pt idx="17">
                  <c:v>2238.9550621897019</c:v>
                </c:pt>
                <c:pt idx="18">
                  <c:v>1954.357196309842</c:v>
                </c:pt>
                <c:pt idx="19">
                  <c:v>1718.2346310204027</c:v>
                </c:pt>
                <c:pt idx="20">
                  <c:v>1520.4045791921103</c:v>
                </c:pt>
                <c:pt idx="21">
                  <c:v>1353.191745437902</c:v>
                </c:pt>
                <c:pt idx="22">
                  <c:v>1210.7279974805047</c:v>
                </c:pt>
                <c:pt idx="23">
                  <c:v>1088.4688394455236</c:v>
                </c:pt>
                <c:pt idx="24">
                  <c:v>982.85353666744413</c:v>
                </c:pt>
                <c:pt idx="25">
                  <c:v>891.06230105960833</c:v>
                </c:pt>
                <c:pt idx="26">
                  <c:v>810.8402314825862</c:v>
                </c:pt>
                <c:pt idx="27">
                  <c:v>740.36791563854945</c:v>
                </c:pt>
                <c:pt idx="28">
                  <c:v>678.16513588813666</c:v>
                </c:pt>
                <c:pt idx="29">
                  <c:v>623.01838334725971</c:v>
                </c:pt>
                <c:pt idx="30">
                  <c:v>573.92571192360049</c:v>
                </c:pt>
                <c:pt idx="31">
                  <c:v>530.05436945347003</c:v>
                </c:pt>
                <c:pt idx="32">
                  <c:v>490.70794627875057</c:v>
                </c:pt>
                <c:pt idx="33">
                  <c:v>455.30068503944869</c:v>
                </c:pt>
                <c:pt idx="34">
                  <c:v>423.33722973277992</c:v>
                </c:pt>
                <c:pt idx="35">
                  <c:v>394.39654267435907</c:v>
                </c:pt>
                <c:pt idx="36">
                  <c:v>368.1190416355247</c:v>
                </c:pt>
                <c:pt idx="37">
                  <c:v>344.19624430092603</c:v>
                </c:pt>
                <c:pt idx="38">
                  <c:v>322.3623793003585</c:v>
                </c:pt>
                <c:pt idx="39">
                  <c:v>302.38755034452589</c:v>
                </c:pt>
                <c:pt idx="40">
                  <c:v>284.0721349277207</c:v>
                </c:pt>
                <c:pt idx="41">
                  <c:v>267.24217044728584</c:v>
                </c:pt>
                <c:pt idx="42">
                  <c:v>251.74553468399117</c:v>
                </c:pt>
                <c:pt idx="43">
                  <c:v>237.44876887740898</c:v>
                </c:pt>
                <c:pt idx="44">
                  <c:v>224.23442336485081</c:v>
                </c:pt>
                <c:pt idx="45">
                  <c:v>211.99883030326629</c:v>
                </c:pt>
                <c:pt idx="46">
                  <c:v>200.6502271055227</c:v>
                </c:pt>
                <c:pt idx="47">
                  <c:v>190.10716918917115</c:v>
                </c:pt>
                <c:pt idx="48">
                  <c:v>180.29718242275169</c:v>
                </c:pt>
                <c:pt idx="49">
                  <c:v>171.15561498775114</c:v>
                </c:pt>
                <c:pt idx="50">
                  <c:v>162.62465580258535</c:v>
                </c:pt>
                <c:pt idx="51">
                  <c:v>154.65249259645935</c:v>
                </c:pt>
                <c:pt idx="52">
                  <c:v>147.19258749574061</c:v>
                </c:pt>
                <c:pt idx="53">
                  <c:v>140.2030518401117</c:v>
                </c:pt>
                <c:pt idx="54">
                  <c:v>133.64610507104055</c:v>
                </c:pt>
                <c:pt idx="55">
                  <c:v>127.48760507972605</c:v>
                </c:pt>
                <c:pt idx="56">
                  <c:v>121.6966394816945</c:v>
                </c:pt>
                <c:pt idx="57">
                  <c:v>116.24516899214704</c:v>
                </c:pt>
                <c:pt idx="58">
                  <c:v>111.10771548200889</c:v>
                </c:pt>
                <c:pt idx="59">
                  <c:v>106.2610884566942</c:v>
                </c:pt>
                <c:pt idx="60">
                  <c:v>101.68414466340701</c:v>
                </c:pt>
                <c:pt idx="61">
                  <c:v>97.357576334825254</c:v>
                </c:pt>
                <c:pt idx="62">
                  <c:v>93.263724246534082</c:v>
                </c:pt>
                <c:pt idx="63">
                  <c:v>89.386412326145688</c:v>
                </c:pt>
                <c:pt idx="64">
                  <c:v>85.710801022803736</c:v>
                </c:pt>
                <c:pt idx="65">
                  <c:v>82.223257042166182</c:v>
                </c:pt>
                <c:pt idx="66">
                  <c:v>78.911237386648764</c:v>
                </c:pt>
                <c:pt idx="67">
                  <c:v>75.763185923957437</c:v>
                </c:pt>
                <c:pt idx="68">
                  <c:v>72.768440947256252</c:v>
                </c:pt>
                <c:pt idx="69">
                  <c:v>69.917152394552815</c:v>
                </c:pt>
                <c:pt idx="70">
                  <c:v>67.200207568843339</c:v>
                </c:pt>
                <c:pt idx="71">
                  <c:v>64.609164348877329</c:v>
                </c:pt>
                <c:pt idx="72">
                  <c:v>62.136191007002033</c:v>
                </c:pt>
                <c:pt idx="73">
                  <c:v>59.774011858615758</c:v>
                </c:pt>
                <c:pt idx="74">
                  <c:v>57.515858059926231</c:v>
                </c:pt>
                <c:pt idx="75">
                  <c:v>55.355422949138578</c:v>
                </c:pt>
                <c:pt idx="76">
                  <c:v>53.286821392587242</c:v>
                </c:pt>
                <c:pt idx="77">
                  <c:v>51.304552653091612</c:v>
                </c:pt>
                <c:pt idx="78">
                  <c:v>49.403466343926262</c:v>
                </c:pt>
                <c:pt idx="79">
                  <c:v>47.578731068998252</c:v>
                </c:pt>
                <c:pt idx="80">
                  <c:v>45.825805378464921</c:v>
                </c:pt>
                <c:pt idx="81">
                  <c:v>44.140410689099241</c:v>
                </c:pt>
                <c:pt idx="82">
                  <c:v>42.518505829803715</c:v>
                </c:pt>
                <c:pt idx="83">
                  <c:v>40.956262873791161</c:v>
                </c:pt>
                <c:pt idx="84">
                  <c:v>39.450043908413434</c:v>
                </c:pt>
                <c:pt idx="85">
                  <c:v>37.996378368719846</c:v>
                </c:pt>
                <c:pt idx="86">
                  <c:v>36.591940517450205</c:v>
                </c:pt>
                <c:pt idx="87">
                  <c:v>35.2335265860698</c:v>
                </c:pt>
                <c:pt idx="88">
                  <c:v>33.91803098922864</c:v>
                </c:pt>
                <c:pt idx="89">
                  <c:v>32.642420874323626</c:v>
                </c:pt>
                <c:pt idx="90">
                  <c:v>31.403708046572866</c:v>
                </c:pt>
                <c:pt idx="91">
                  <c:v>30.198916983548692</c:v>
                </c:pt>
                <c:pt idx="92">
                  <c:v>29.025047166136993</c:v>
                </c:pt>
                <c:pt idx="93">
                  <c:v>27.879027214982692</c:v>
                </c:pt>
                <c:pt idx="94">
                  <c:v>26.757657181042685</c:v>
                </c:pt>
                <c:pt idx="95">
                  <c:v>25.657533534223575</c:v>
                </c:pt>
                <c:pt idx="96">
                  <c:v>24.574948458524151</c:v>
                </c:pt>
                <c:pt idx="97">
                  <c:v>23.505750131603612</c:v>
                </c:pt>
                <c:pt idx="98">
                  <c:v>22.445142071885943</c:v>
                </c:pt>
                <c:pt idx="99">
                  <c:v>21.387383988202185</c:v>
                </c:pt>
                <c:pt idx="100">
                  <c:v>20.325326574790719</c:v>
                </c:pt>
                <c:pt idx="101">
                  <c:v>19.905021332224571</c:v>
                </c:pt>
                <c:pt idx="102">
                  <c:v>19.497421101589374</c:v>
                </c:pt>
                <c:pt idx="103">
                  <c:v>19.102022857951681</c:v>
                </c:pt>
                <c:pt idx="104">
                  <c:v>18.718348112893246</c:v>
                </c:pt>
                <c:pt idx="105">
                  <c:v>18.345941496568745</c:v>
                </c:pt>
                <c:pt idx="106">
                  <c:v>17.984369434243476</c:v>
                </c:pt>
                <c:pt idx="107">
                  <c:v>17.633218910193751</c:v>
                </c:pt>
                <c:pt idx="108">
                  <c:v>17.292096312452941</c:v>
                </c:pt>
                <c:pt idx="109">
                  <c:v>16.960626352425134</c:v>
                </c:pt>
                <c:pt idx="110">
                  <c:v>16.638451053881571</c:v>
                </c:pt>
                <c:pt idx="111">
                  <c:v>16.325228806302267</c:v>
                </c:pt>
                <c:pt idx="112">
                  <c:v>16.020633477931675</c:v>
                </c:pt>
                <c:pt idx="113">
                  <c:v>15.724353584290155</c:v>
                </c:pt>
                <c:pt idx="114">
                  <c:v>15.436091508218807</c:v>
                </c:pt>
                <c:pt idx="115">
                  <c:v>15.155562767846636</c:v>
                </c:pt>
                <c:pt idx="116">
                  <c:v>14.88249532914881</c:v>
                </c:pt>
                <c:pt idx="117">
                  <c:v>14.616628960024174</c:v>
                </c:pt>
                <c:pt idx="118">
                  <c:v>14.357714623055422</c:v>
                </c:pt>
                <c:pt idx="119">
                  <c:v>14.105513904330371</c:v>
                </c:pt>
                <c:pt idx="120">
                  <c:v>13.859798475902375</c:v>
                </c:pt>
                <c:pt idx="121">
                  <c:v>13.620349589648074</c:v>
                </c:pt>
                <c:pt idx="122">
                  <c:v>13.386957600447001</c:v>
                </c:pt>
                <c:pt idx="123">
                  <c:v>13.159421516761226</c:v>
                </c:pt>
                <c:pt idx="124">
                  <c:v>12.937548576832912</c:v>
                </c:pt>
                <c:pt idx="125">
                  <c:v>12.721153848847509</c:v>
                </c:pt>
                <c:pt idx="126">
                  <c:v>12.510059853528112</c:v>
                </c:pt>
                <c:pt idx="127">
                  <c:v>12.304096207737048</c:v>
                </c:pt>
                <c:pt idx="128">
                  <c:v>12.103099287761122</c:v>
                </c:pt>
                <c:pt idx="129">
                  <c:v>11.906911911049283</c:v>
                </c:pt>
                <c:pt idx="130">
                  <c:v>11.715383035258872</c:v>
                </c:pt>
                <c:pt idx="131">
                  <c:v>11.528367473543609</c:v>
                </c:pt>
                <c:pt idx="132">
                  <c:v>11.345725625091912</c:v>
                </c:pt>
                <c:pt idx="133">
                  <c:v>11.167323219989729</c:v>
                </c:pt>
                <c:pt idx="134">
                  <c:v>10.993031077546512</c:v>
                </c:pt>
                <c:pt idx="135">
                  <c:v>10.822724877278755</c:v>
                </c:pt>
                <c:pt idx="136">
                  <c:v>10.656284941801536</c:v>
                </c:pt>
                <c:pt idx="137">
                  <c:v>10.493596030925632</c:v>
                </c:pt>
                <c:pt idx="138">
                  <c:v>10.334547146306107</c:v>
                </c:pt>
                <c:pt idx="139">
                  <c:v>10.179031346029465</c:v>
                </c:pt>
                <c:pt idx="140">
                  <c:v>10.026945568566571</c:v>
                </c:pt>
                <c:pt idx="141">
                  <c:v>9.878190465555873</c:v>
                </c:pt>
                <c:pt idx="142">
                  <c:v>9.7326702429146277</c:v>
                </c:pt>
                <c:pt idx="143">
                  <c:v>9.5902925098086236</c:v>
                </c:pt>
                <c:pt idx="144">
                  <c:v>9.4509681350398314</c:v>
                </c:pt>
                <c:pt idx="145">
                  <c:v>9.3146111104394755</c:v>
                </c:pt>
                <c:pt idx="146">
                  <c:v>9.181138420878888</c:v>
                </c:pt>
                <c:pt idx="147">
                  <c:v>9.0504699205353596</c:v>
                </c:pt>
                <c:pt idx="148">
                  <c:v>8.9225282150716136</c:v>
                </c:pt>
                <c:pt idx="149">
                  <c:v>8.7972385494086485</c:v>
                </c:pt>
                <c:pt idx="150">
                  <c:v>8.6745287007912193</c:v>
                </c:pt>
              </c:numCache>
            </c:numRef>
          </c:yVal>
          <c:smooth val="1"/>
        </c:ser>
        <c:ser>
          <c:idx val="3"/>
          <c:order val="3"/>
          <c:tx>
            <c:strRef>
              <c:f>Diagram!$R$7</c:f>
              <c:strCache>
                <c:ptCount val="1"/>
                <c:pt idx="0">
                  <c:v>X2U1</c:v>
                </c:pt>
              </c:strCache>
            </c:strRef>
          </c:tx>
          <c:spPr>
            <a:ln w="25400" cap="rnd">
              <a:solidFill>
                <a:schemeClr val="accent2">
                  <a:lumMod val="75000"/>
                </a:schemeClr>
              </a:solidFill>
              <a:prstDash val="sysDash"/>
              <a:round/>
            </a:ln>
            <a:effectLst/>
          </c:spPr>
          <c:marker>
            <c:symbol val="none"/>
          </c:marker>
          <c:xVal>
            <c:numRef>
              <c:f>Diagram!$O$8:$O$158</c:f>
              <c:numCache>
                <c:formatCode>0.00</c:formatCode>
                <c:ptCount val="151"/>
                <c:pt idx="0">
                  <c:v>0</c:v>
                </c:pt>
                <c:pt idx="1">
                  <c:v>0.80225263929342994</c:v>
                </c:pt>
                <c:pt idx="2">
                  <c:v>1.6067372035755729</c:v>
                </c:pt>
                <c:pt idx="3">
                  <c:v>2.4135056436261069</c:v>
                </c:pt>
                <c:pt idx="4">
                  <c:v>3.2226119916241314</c:v>
                </c:pt>
                <c:pt idx="5">
                  <c:v>4.0341124782324211</c:v>
                </c:pt>
                <c:pt idx="6">
                  <c:v>4.8480656581674699</c:v>
                </c:pt>
                <c:pt idx="7">
                  <c:v>5.6645325450102488</c:v>
                </c:pt>
                <c:pt idx="8">
                  <c:v>6.4835767560924449</c:v>
                </c:pt>
                <c:pt idx="9">
                  <c:v>7.3052646683826943</c:v>
                </c:pt>
                <c:pt idx="10">
                  <c:v>8.1296655863982163</c:v>
                </c:pt>
                <c:pt idx="11">
                  <c:v>8.9568519232810981</c:v>
                </c:pt>
                <c:pt idx="12">
                  <c:v>9.7868993963068291</c:v>
                </c:pt>
                <c:pt idx="13">
                  <c:v>10.619887238238057</c:v>
                </c:pt>
                <c:pt idx="14">
                  <c:v>11.455898426101266</c:v>
                </c:pt>
                <c:pt idx="15">
                  <c:v>12.295019929151177</c:v>
                </c:pt>
                <c:pt idx="16">
                  <c:v>13.137342978000436</c:v>
                </c:pt>
                <c:pt idx="17">
                  <c:v>13.982963357135423</c:v>
                </c:pt>
                <c:pt idx="18">
                  <c:v>14.831981723316106</c:v>
                </c:pt>
                <c:pt idx="19">
                  <c:v>15.684503952676616</c:v>
                </c:pt>
                <c:pt idx="20">
                  <c:v>16.540641519708039</c:v>
                </c:pt>
                <c:pt idx="21">
                  <c:v>17.400511911726024</c:v>
                </c:pt>
                <c:pt idx="22">
                  <c:v>18.264239082911221</c:v>
                </c:pt>
                <c:pt idx="23">
                  <c:v>19.131953952572587</c:v>
                </c:pt>
                <c:pt idx="24">
                  <c:v>20.003794952936055</c:v>
                </c:pt>
                <c:pt idx="25">
                  <c:v>20.879908632519918</c:v>
                </c:pt>
                <c:pt idx="26">
                  <c:v>21.760450322044864</c:v>
                </c:pt>
                <c:pt idx="27">
                  <c:v>22.645584870863853</c:v>
                </c:pt>
                <c:pt idx="28">
                  <c:v>23.535487463116485</c:v>
                </c:pt>
                <c:pt idx="29">
                  <c:v>24.430344524248586</c:v>
                </c:pt>
                <c:pt idx="30">
                  <c:v>25.33035473023736</c:v>
                </c:pt>
                <c:pt idx="31">
                  <c:v>26.235730133879475</c:v>
                </c:pt>
                <c:pt idx="32">
                  <c:v>27.146697424902147</c:v>
                </c:pt>
                <c:pt idx="33">
                  <c:v>28.063499343532747</c:v>
                </c:pt>
                <c:pt idx="34">
                  <c:v>28.986396270615501</c:v>
                </c:pt>
                <c:pt idx="35">
                  <c:v>29.91566802152991</c:v>
                </c:pt>
                <c:pt idx="36">
                  <c:v>30.851615876214822</c:v>
                </c:pt>
                <c:pt idx="37">
                  <c:v>31.794564883749477</c:v>
                </c:pt>
                <c:pt idx="38">
                  <c:v>32.744866487468194</c:v>
                </c:pt>
                <c:pt idx="39">
                  <c:v>33.702901525840879</c:v>
                </c:pt>
                <c:pt idx="40">
                  <c:v>34.669083675804309</c:v>
                </c:pt>
                <c:pt idx="41">
                  <c:v>35.643863419478997</c:v>
                </c:pt>
                <c:pt idx="42">
                  <c:v>36.627732633049852</c:v>
                </c:pt>
                <c:pt idx="43">
                  <c:v>37.621229919076526</c:v>
                </c:pt>
                <c:pt idx="44">
                  <c:v>38.624946832039178</c:v>
                </c:pt>
                <c:pt idx="45">
                  <c:v>39.639535183411823</c:v>
                </c:pt>
                <c:pt idx="46">
                  <c:v>40.665715659570672</c:v>
                </c:pt>
                <c:pt idx="47">
                  <c:v>41.70428804693158</c:v>
                </c:pt>
                <c:pt idx="48">
                  <c:v>42.756143438795547</c:v>
                </c:pt>
                <c:pt idx="49">
                  <c:v>43.82227890437558</c:v>
                </c:pt>
                <c:pt idx="50">
                  <c:v>44.903815242214264</c:v>
                </c:pt>
                <c:pt idx="51">
                  <c:v>46.002018631828001</c:v>
                </c:pt>
                <c:pt idx="52">
                  <c:v>47.118327259599333</c:v>
                </c:pt>
                <c:pt idx="53">
                  <c:v>48.254384358311121</c:v>
                </c:pt>
                <c:pt idx="54">
                  <c:v>49.412079610428393</c:v>
                </c:pt>
                <c:pt idx="55">
                  <c:v>50.593601594061617</c:v>
                </c:pt>
                <c:pt idx="56">
                  <c:v>51.801505008164909</c:v>
                </c:pt>
                <c:pt idx="57">
                  <c:v>53.038797976699712</c:v>
                </c:pt>
                <c:pt idx="58">
                  <c:v>54.309057089261053</c:v>
                </c:pt>
                <c:pt idx="59">
                  <c:v>55.616581473008573</c:v>
                </c:pt>
                <c:pt idx="60">
                  <c:v>56.966602945335531</c:v>
                </c:pt>
                <c:pt idx="61">
                  <c:v>58.365578662985882</c:v>
                </c:pt>
                <c:pt idx="62">
                  <c:v>59.821608426854709</c:v>
                </c:pt>
                <c:pt idx="63">
                  <c:v>61.34504625849808</c:v>
                </c:pt>
                <c:pt idx="64">
                  <c:v>62.949425837025544</c:v>
                </c:pt>
                <c:pt idx="65">
                  <c:v>64.652915003943505</c:v>
                </c:pt>
                <c:pt idx="66">
                  <c:v>66.480708731283158</c:v>
                </c:pt>
                <c:pt idx="67">
                  <c:v>68.469193867336216</c:v>
                </c:pt>
                <c:pt idx="68">
                  <c:v>70.673731372354197</c:v>
                </c:pt>
                <c:pt idx="69">
                  <c:v>71.608434888713617</c:v>
                </c:pt>
                <c:pt idx="70">
                  <c:v>72.541784693722022</c:v>
                </c:pt>
                <c:pt idx="71">
                  <c:v>73.473802046254576</c:v>
                </c:pt>
                <c:pt idx="72">
                  <c:v>74.404507576783288</c:v>
                </c:pt>
                <c:pt idx="73">
                  <c:v>75.333921314417864</c:v>
                </c:pt>
                <c:pt idx="74">
                  <c:v>76.262062712428872</c:v>
                </c:pt>
                <c:pt idx="75">
                  <c:v>77.188950672357052</c:v>
                </c:pt>
                <c:pt idx="76">
                  <c:v>78.114603566806082</c:v>
                </c:pt>
                <c:pt idx="77">
                  <c:v>79.039039261005598</c:v>
                </c:pt>
                <c:pt idx="78">
                  <c:v>79.96227513322691</c:v>
                </c:pt>
                <c:pt idx="79">
                  <c:v>80.88432809412663</c:v>
                </c:pt>
                <c:pt idx="80">
                  <c:v>81.805214605085808</c:v>
                </c:pt>
                <c:pt idx="81">
                  <c:v>82.724950695610985</c:v>
                </c:pt>
                <c:pt idx="82">
                  <c:v>83.643551979853427</c:v>
                </c:pt>
                <c:pt idx="83">
                  <c:v>84.56103367230422</c:v>
                </c:pt>
                <c:pt idx="84">
                  <c:v>85.477410602713434</c:v>
                </c:pt>
                <c:pt idx="85">
                  <c:v>86.392697230281925</c:v>
                </c:pt>
                <c:pt idx="86">
                  <c:v>87.306907657168537</c:v>
                </c:pt>
                <c:pt idx="87">
                  <c:v>88.220055641354421</c:v>
                </c:pt>
                <c:pt idx="88">
                  <c:v>89.132154608900066</c:v>
                </c:pt>
                <c:pt idx="89">
                  <c:v>90.043217665632881</c:v>
                </c:pt>
                <c:pt idx="90">
                  <c:v>90.953257608296255</c:v>
                </c:pt>
                <c:pt idx="91">
                  <c:v>91.862286935189971</c:v>
                </c:pt>
                <c:pt idx="92">
                  <c:v>92.770317856332895</c:v>
                </c:pt>
                <c:pt idx="93">
                  <c:v>93.677362303171847</c:v>
                </c:pt>
                <c:pt idx="94">
                  <c:v>94.583431937863196</c:v>
                </c:pt>
                <c:pt idx="95">
                  <c:v>95.48853816214995</c:v>
                </c:pt>
                <c:pt idx="96">
                  <c:v>96.392692125855135</c:v>
                </c:pt>
                <c:pt idx="97">
                  <c:v>97.295904735013039</c:v>
                </c:pt>
                <c:pt idx="98">
                  <c:v>98.198186659657551</c:v>
                </c:pt>
                <c:pt idx="99">
                  <c:v>99.099548341283381</c:v>
                </c:pt>
                <c:pt idx="100">
                  <c:v>100.00000000000007</c:v>
                </c:pt>
                <c:pt idx="101">
                  <c:v>100.89955164139084</c:v>
                </c:pt>
                <c:pt idx="102">
                  <c:v>101.79821306309545</c:v>
                </c:pt>
                <c:pt idx="103">
                  <c:v>102.69599386112667</c:v>
                </c:pt>
                <c:pt idx="104">
                  <c:v>103.59290343593578</c:v>
                </c:pt>
                <c:pt idx="105">
                  <c:v>104.48895099824027</c:v>
                </c:pt>
                <c:pt idx="106">
                  <c:v>105.38414557462247</c:v>
                </c:pt>
                <c:pt idx="107">
                  <c:v>106.27849601291271</c:v>
                </c:pt>
                <c:pt idx="108">
                  <c:v>107.17201098736592</c:v>
                </c:pt>
                <c:pt idx="109">
                  <c:v>108.06469900364165</c:v>
                </c:pt>
                <c:pt idx="110">
                  <c:v>108.95656840359747</c:v>
                </c:pt>
                <c:pt idx="111">
                  <c:v>109.84762736990294</c:v>
                </c:pt>
                <c:pt idx="112">
                  <c:v>110.73788393048417</c:v>
                </c:pt>
                <c:pt idx="113">
                  <c:v>111.62734596280468</c:v>
                </c:pt>
                <c:pt idx="114">
                  <c:v>112.51602119799165</c:v>
                </c:pt>
                <c:pt idx="115">
                  <c:v>113.40391722481378</c:v>
                </c:pt>
                <c:pt idx="116">
                  <c:v>114.29104149351753</c:v>
                </c:pt>
                <c:pt idx="117">
                  <c:v>115.17740131952729</c:v>
                </c:pt>
                <c:pt idx="118">
                  <c:v>116.06300388701595</c:v>
                </c:pt>
                <c:pt idx="119">
                  <c:v>116.94785625235245</c:v>
                </c:pt>
                <c:pt idx="120">
                  <c:v>117.83196534742949</c:v>
                </c:pt>
                <c:pt idx="121">
                  <c:v>118.715337982878</c:v>
                </c:pt>
                <c:pt idx="122">
                  <c:v>119.59798085117254</c:v>
                </c:pt>
                <c:pt idx="123">
                  <c:v>120.47990052963273</c:v>
                </c:pt>
                <c:pt idx="124">
                  <c:v>121.36110348332481</c:v>
                </c:pt>
                <c:pt idx="125">
                  <c:v>122.24159606786614</c:v>
                </c:pt>
                <c:pt idx="126">
                  <c:v>123.12138453213906</c:v>
                </c:pt>
                <c:pt idx="127">
                  <c:v>124.00047502091641</c:v>
                </c:pt>
                <c:pt idx="128">
                  <c:v>124.87887357740087</c:v>
                </c:pt>
                <c:pt idx="129">
                  <c:v>125.75658614568496</c:v>
                </c:pt>
                <c:pt idx="130">
                  <c:v>126.63361857313114</c:v>
                </c:pt>
                <c:pt idx="131">
                  <c:v>127.50997661267837</c:v>
                </c:pt>
                <c:pt idx="132">
                  <c:v>128.38566592507522</c:v>
                </c:pt>
                <c:pt idx="133">
                  <c:v>129.26069208104462</c:v>
                </c:pt>
                <c:pt idx="134">
                  <c:v>130.13506056338113</c:v>
                </c:pt>
                <c:pt idx="135">
                  <c:v>131.00877676898492</c:v>
                </c:pt>
                <c:pt idx="136">
                  <c:v>131.88184601083273</c:v>
                </c:pt>
                <c:pt idx="137">
                  <c:v>132.75427351989092</c:v>
                </c:pt>
                <c:pt idx="138">
                  <c:v>133.62606444697033</c:v>
                </c:pt>
                <c:pt idx="139">
                  <c:v>134.49722386452603</c:v>
                </c:pt>
                <c:pt idx="140">
                  <c:v>135.36775676840486</c:v>
                </c:pt>
                <c:pt idx="141">
                  <c:v>136.2376680795405</c:v>
                </c:pt>
                <c:pt idx="142">
                  <c:v>137.1069626456003</c:v>
                </c:pt>
                <c:pt idx="143">
                  <c:v>137.97564524258431</c:v>
                </c:pt>
                <c:pt idx="144">
                  <c:v>138.84372057637836</c:v>
                </c:pt>
                <c:pt idx="145">
                  <c:v>139.71119328426289</c:v>
                </c:pt>
                <c:pt idx="146">
                  <c:v>140.57806793637951</c:v>
                </c:pt>
                <c:pt idx="147">
                  <c:v>141.44434903715563</c:v>
                </c:pt>
                <c:pt idx="148">
                  <c:v>142.31004102669019</c:v>
                </c:pt>
                <c:pt idx="149">
                  <c:v>143.17514828210068</c:v>
                </c:pt>
                <c:pt idx="150">
                  <c:v>144.03967511883266</c:v>
                </c:pt>
              </c:numCache>
            </c:numRef>
          </c:xVal>
          <c:yVal>
            <c:numRef>
              <c:f>Diagram!$R$8:$R$158</c:f>
              <c:numCache>
                <c:formatCode>General</c:formatCode>
                <c:ptCount val="151"/>
                <c:pt idx="1">
                  <c:v>601520.52862429107</c:v>
                </c:pt>
                <c:pt idx="2">
                  <c:v>118970.2838926133</c:v>
                </c:pt>
                <c:pt idx="3">
                  <c:v>46039.479364848761</c:v>
                </c:pt>
                <c:pt idx="4">
                  <c:v>23450.805797040746</c:v>
                </c:pt>
                <c:pt idx="5">
                  <c:v>13885.594353396267</c:v>
                </c:pt>
                <c:pt idx="6">
                  <c:v>9043.0860603920646</c:v>
                </c:pt>
                <c:pt idx="7">
                  <c:v>6289.1743707915894</c:v>
                </c:pt>
                <c:pt idx="8">
                  <c:v>4589.2559741387086</c:v>
                </c:pt>
                <c:pt idx="9">
                  <c:v>3473.9688436238007</c:v>
                </c:pt>
                <c:pt idx="10">
                  <c:v>2706.9083874788803</c:v>
                </c:pt>
                <c:pt idx="11">
                  <c:v>2159.138793117892</c:v>
                </c:pt>
                <c:pt idx="12">
                  <c:v>1755.7844212546609</c:v>
                </c:pt>
                <c:pt idx="13">
                  <c:v>1451.0978591200656</c:v>
                </c:pt>
                <c:pt idx="14">
                  <c:v>1215.9296649007774</c:v>
                </c:pt>
                <c:pt idx="15">
                  <c:v>1031.0386070463112</c:v>
                </c:pt>
                <c:pt idx="16">
                  <c:v>883.33524315784041</c:v>
                </c:pt>
                <c:pt idx="17">
                  <c:v>763.6803834207476</c:v>
                </c:pt>
                <c:pt idx="18">
                  <c:v>665.54647906153036</c:v>
                </c:pt>
                <c:pt idx="19">
                  <c:v>584.17725284548237</c:v>
                </c:pt>
                <c:pt idx="20">
                  <c:v>516.04510804679364</c:v>
                </c:pt>
                <c:pt idx="21">
                  <c:v>458.49199275863049</c:v>
                </c:pt>
                <c:pt idx="22">
                  <c:v>409.48637180051662</c:v>
                </c:pt>
                <c:pt idx="23">
                  <c:v>367.45547098239302</c:v>
                </c:pt>
                <c:pt idx="24">
                  <c:v>331.16738665514288</c:v>
                </c:pt>
                <c:pt idx="25">
                  <c:v>299.64688103687439</c:v>
                </c:pt>
                <c:pt idx="26">
                  <c:v>272.11434097767528</c:v>
                </c:pt>
                <c:pt idx="27">
                  <c:v>247.94092473584499</c:v>
                </c:pt>
                <c:pt idx="28">
                  <c:v>226.61519106068937</c:v>
                </c:pt>
                <c:pt idx="29">
                  <c:v>207.71798470983177</c:v>
                </c:pt>
                <c:pt idx="30">
                  <c:v>190.90333407179017</c:v>
                </c:pt>
                <c:pt idx="31">
                  <c:v>175.88377798838744</c:v>
                </c:pt>
                <c:pt idx="32">
                  <c:v>162.41899115249205</c:v>
                </c:pt>
                <c:pt idx="33">
                  <c:v>150.30689095459005</c:v>
                </c:pt>
                <c:pt idx="34">
                  <c:v>139.37662871529966</c:v>
                </c:pt>
                <c:pt idx="35">
                  <c:v>129.48302454819293</c:v>
                </c:pt>
                <c:pt idx="36">
                  <c:v>120.50211734932928</c:v>
                </c:pt>
                <c:pt idx="37">
                  <c:v>112.32758286003892</c:v>
                </c:pt>
                <c:pt idx="38">
                  <c:v>104.86783242516961</c:v>
                </c:pt>
                <c:pt idx="39">
                  <c:v>98.04364919157581</c:v>
                </c:pt>
                <c:pt idx="40">
                  <c:v>91.786251395814134</c:v>
                </c:pt>
                <c:pt idx="41">
                  <c:v>86.035697127621546</c:v>
                </c:pt>
                <c:pt idx="42">
                  <c:v>80.739563696244247</c:v>
                </c:pt>
                <c:pt idx="43">
                  <c:v>75.851849026665874</c:v>
                </c:pt>
                <c:pt idx="44">
                  <c:v>71.332053498787957</c:v>
                </c:pt>
                <c:pt idx="45">
                  <c:v>67.144409136655</c:v>
                </c:pt>
                <c:pt idx="46">
                  <c:v>63.257229661302162</c:v>
                </c:pt>
                <c:pt idx="47">
                  <c:v>59.642360087274106</c:v>
                </c:pt>
                <c:pt idx="48">
                  <c:v>56.274708602860073</c:v>
                </c:pt>
                <c:pt idx="49">
                  <c:v>53.131846677449879</c:v>
                </c:pt>
                <c:pt idx="50">
                  <c:v>50.193665874034295</c:v>
                </c:pt>
                <c:pt idx="51">
                  <c:v>47.442081852128346</c:v>
                </c:pt>
                <c:pt idx="52">
                  <c:v>44.860777632141186</c:v>
                </c:pt>
                <c:pt idx="53">
                  <c:v>42.434979434468843</c:v>
                </c:pt>
                <c:pt idx="54">
                  <c:v>40.151259360377914</c:v>
                </c:pt>
                <c:pt idx="55">
                  <c:v>37.997359881735768</c:v>
                </c:pt>
                <c:pt idx="56">
                  <c:v>35.96203556701807</c:v>
                </c:pt>
                <c:pt idx="57">
                  <c:v>34.034907682279893</c:v>
                </c:pt>
                <c:pt idx="58">
                  <c:v>32.206327226341976</c:v>
                </c:pt>
                <c:pt idx="59">
                  <c:v>30.467241498831871</c:v>
                </c:pt>
                <c:pt idx="60">
                  <c:v>28.809058285720482</c:v>
                </c:pt>
                <c:pt idx="61">
                  <c:v>27.223499861556242</c:v>
                </c:pt>
                <c:pt idx="62">
                  <c:v>25.702435658435697</c:v>
                </c:pt>
                <c:pt idx="63">
                  <c:v>24.237676504237637</c:v>
                </c:pt>
                <c:pt idx="64">
                  <c:v>22.820702522817893</c:v>
                </c:pt>
                <c:pt idx="65">
                  <c:v>21.442276360144874</c:v>
                </c:pt>
                <c:pt idx="66">
                  <c:v>20.091852711643416</c:v>
                </c:pt>
                <c:pt idx="67">
                  <c:v>18.756608480449437</c:v>
                </c:pt>
                <c:pt idx="68">
                  <c:v>17.419717087492089</c:v>
                </c:pt>
                <c:pt idx="69">
                  <c:v>16.893775691921981</c:v>
                </c:pt>
                <c:pt idx="70">
                  <c:v>16.390942623066056</c:v>
                </c:pt>
                <c:pt idx="71">
                  <c:v>15.90989383855227</c:v>
                </c:pt>
                <c:pt idx="72">
                  <c:v>15.449398361101267</c:v>
                </c:pt>
                <c:pt idx="73">
                  <c:v>15.008310560976424</c:v>
                </c:pt>
                <c:pt idx="74">
                  <c:v>14.585563173335764</c:v>
                </c:pt>
                <c:pt idx="75">
                  <c:v>14.180160971706055</c:v>
                </c:pt>
                <c:pt idx="76">
                  <c:v>13.791175028162659</c:v>
                </c:pt>
                <c:pt idx="77">
                  <c:v>13.417737498944668</c:v>
                </c:pt>
                <c:pt idx="78">
                  <c:v>13.059036881329396</c:v>
                </c:pt>
                <c:pt idx="79">
                  <c:v>12.714313693788533</c:v>
                </c:pt>
                <c:pt idx="80">
                  <c:v>12.382856536867472</c:v>
                </c:pt>
                <c:pt idx="81">
                  <c:v>12.063998496976248</c:v>
                </c:pt>
                <c:pt idx="82">
                  <c:v>11.75711385945038</c:v>
                </c:pt>
                <c:pt idx="83">
                  <c:v>11.461615100900872</c:v>
                </c:pt>
                <c:pt idx="84">
                  <c:v>11.176950134102016</c:v>
                </c:pt>
                <c:pt idx="85">
                  <c:v>10.902599781507634</c:v>
                </c:pt>
                <c:pt idx="86">
                  <c:v>10.638075456002793</c:v>
                </c:pt>
                <c:pt idx="87">
                  <c:v>10.382917029718914</c:v>
                </c:pt>
                <c:pt idx="88">
                  <c:v>10.136690873712478</c:v>
                </c:pt>
                <c:pt idx="89">
                  <c:v>9.8989880530529994</c:v>
                </c:pt>
                <c:pt idx="90">
                  <c:v>9.6694226634203684</c:v>
                </c:pt>
                <c:pt idx="91">
                  <c:v>9.4476302966928749</c:v>
                </c:pt>
                <c:pt idx="92">
                  <c:v>9.2332666242371015</c:v>
                </c:pt>
                <c:pt idx="93">
                  <c:v>9.0260060877101065</c:v>
                </c:pt>
                <c:pt idx="94">
                  <c:v>8.8255406881640646</c:v>
                </c:pt>
                <c:pt idx="95">
                  <c:v>8.6315788651207956</c:v>
                </c:pt>
                <c:pt idx="96">
                  <c:v>8.4438444580691954</c:v>
                </c:pt>
                <c:pt idx="97">
                  <c:v>8.2620757435419545</c:v>
                </c:pt>
                <c:pt idx="98">
                  <c:v>8.0860245415600911</c:v>
                </c:pt>
                <c:pt idx="99">
                  <c:v>7.9154553858020904</c:v>
                </c:pt>
                <c:pt idx="100">
                  <c:v>7.7501447523639664</c:v>
                </c:pt>
                <c:pt idx="101">
                  <c:v>7.5898803424378212</c:v>
                </c:pt>
                <c:pt idx="102">
                  <c:v>7.4344604146499051</c:v>
                </c:pt>
                <c:pt idx="103">
                  <c:v>7.2836931631744388</c:v>
                </c:pt>
                <c:pt idx="104">
                  <c:v>7.1373961380768316</c:v>
                </c:pt>
                <c:pt idx="105">
                  <c:v>6.9953957046455315</c:v>
                </c:pt>
                <c:pt idx="106">
                  <c:v>6.8575265387494575</c:v>
                </c:pt>
                <c:pt idx="107">
                  <c:v>6.7236311555072934</c:v>
                </c:pt>
                <c:pt idx="108">
                  <c:v>6.5935594687835648</c:v>
                </c:pt>
                <c:pt idx="109">
                  <c:v>6.467168379232163</c:v>
                </c:pt>
                <c:pt idx="110">
                  <c:v>6.3443213887958301</c:v>
                </c:pt>
                <c:pt idx="111">
                  <c:v>6.2248882397407366</c:v>
                </c:pt>
                <c:pt idx="112">
                  <c:v>6.1087445764603769</c:v>
                </c:pt>
                <c:pt idx="113">
                  <c:v>5.9957716284249534</c:v>
                </c:pt>
                <c:pt idx="114">
                  <c:v>5.8858559127807695</c:v>
                </c:pt>
                <c:pt idx="115">
                  <c:v>5.7788889552225475</c:v>
                </c:pt>
                <c:pt idx="116">
                  <c:v>5.6747670278686044</c:v>
                </c:pt>
                <c:pt idx="117">
                  <c:v>5.5733909029675228</c:v>
                </c:pt>
                <c:pt idx="118">
                  <c:v>5.4746656213546299</c:v>
                </c:pt>
                <c:pt idx="119">
                  <c:v>5.3785002746588688</c:v>
                </c:pt>
                <c:pt idx="120">
                  <c:v>5.2848078003363126</c:v>
                </c:pt>
                <c:pt idx="121">
                  <c:v>5.1935047886757353</c:v>
                </c:pt>
                <c:pt idx="122">
                  <c:v>5.1045113009846679</c:v>
                </c:pt>
                <c:pt idx="123">
                  <c:v>5.0177506982232902</c:v>
                </c:pt>
                <c:pt idx="124">
                  <c:v>4.9331494794064792</c:v>
                </c:pt>
                <c:pt idx="125">
                  <c:v>4.850637129144153</c:v>
                </c:pt>
                <c:pt idx="126">
                  <c:v>4.7701459737346621</c:v>
                </c:pt>
                <c:pt idx="127">
                  <c:v>4.6916110452683641</c:v>
                </c:pt>
                <c:pt idx="128">
                  <c:v>4.6149699532366704</c:v>
                </c:pt>
                <c:pt idx="129">
                  <c:v>4.5401627631770936</c:v>
                </c:pt>
                <c:pt idx="130">
                  <c:v>4.4671318819181272</c:v>
                </c:pt>
                <c:pt idx="131">
                  <c:v>4.3958219490171926</c:v>
                </c:pt>
                <c:pt idx="132">
                  <c:v>4.3261797340135892</c:v>
                </c:pt>
                <c:pt idx="133">
                  <c:v>4.2581540391434967</c:v>
                </c:pt>
                <c:pt idx="134">
                  <c:v>4.1916956071884588</c:v>
                </c:pt>
                <c:pt idx="135">
                  <c:v>4.1267570341503648</c:v>
                </c:pt>
                <c:pt idx="136">
                  <c:v>4.0632926864668972</c:v>
                </c:pt>
                <c:pt idx="137">
                  <c:v>4.0012586224997992</c:v>
                </c:pt>
                <c:pt idx="138">
                  <c:v>3.9406125180464411</c:v>
                </c:pt>
                <c:pt idx="139">
                  <c:v>3.8813135956410036</c:v>
                </c:pt>
                <c:pt idx="140">
                  <c:v>3.8233225574268808</c:v>
                </c:pt>
                <c:pt idx="141">
                  <c:v>3.7666015213961161</c:v>
                </c:pt>
                <c:pt idx="142">
                  <c:v>3.7111139608043633</c:v>
                </c:pt>
                <c:pt idx="143">
                  <c:v>3.6568246465822947</c:v>
                </c:pt>
                <c:pt idx="144">
                  <c:v>3.6036995925755355</c:v>
                </c:pt>
                <c:pt idx="145">
                  <c:v>3.5517060034557866</c:v>
                </c:pt>
                <c:pt idx="146">
                  <c:v>3.5008122251553226</c:v>
                </c:pt>
                <c:pt idx="147">
                  <c:v>3.4509876976865894</c:v>
                </c:pt>
                <c:pt idx="148">
                  <c:v>3.4022029102166464</c:v>
                </c:pt>
                <c:pt idx="149">
                  <c:v>3.3544293582744307</c:v>
                </c:pt>
                <c:pt idx="150">
                  <c:v>3.3076395029761017</c:v>
                </c:pt>
              </c:numCache>
            </c:numRef>
          </c:yVal>
          <c:smooth val="1"/>
        </c:ser>
        <c:ser>
          <c:idx val="4"/>
          <c:order val="4"/>
          <c:tx>
            <c:strRef>
              <c:f>Diagram!$S$7</c:f>
              <c:strCache>
                <c:ptCount val="1"/>
                <c:pt idx="0">
                  <c:v>axis</c:v>
                </c:pt>
              </c:strCache>
            </c:strRef>
          </c:tx>
          <c:spPr>
            <a:ln w="38100" cap="rnd">
              <a:solidFill>
                <a:schemeClr val="tx1"/>
              </a:solidFill>
              <a:round/>
            </a:ln>
            <a:effectLst/>
          </c:spPr>
          <c:marker>
            <c:symbol val="none"/>
          </c:marker>
          <c:dPt>
            <c:idx val="1"/>
            <c:marker>
              <c:symbol val="none"/>
            </c:marker>
            <c:bubble3D val="0"/>
            <c:spPr>
              <a:ln w="44450" cap="rnd">
                <a:solidFill>
                  <a:schemeClr val="tx1"/>
                </a:solidFill>
                <a:round/>
              </a:ln>
              <a:effectLst/>
            </c:spPr>
          </c:dPt>
          <c:xVal>
            <c:numRef>
              <c:f>Diagram!$S$9:$S$10</c:f>
              <c:numCache>
                <c:formatCode>General</c:formatCode>
                <c:ptCount val="2"/>
                <c:pt idx="0">
                  <c:v>0</c:v>
                </c:pt>
                <c:pt idx="1">
                  <c:v>100</c:v>
                </c:pt>
              </c:numCache>
            </c:numRef>
          </c:xVal>
          <c:yVal>
            <c:numRef>
              <c:f>Diagram!$T$9:$T$10</c:f>
              <c:numCache>
                <c:formatCode>General</c:formatCode>
                <c:ptCount val="2"/>
                <c:pt idx="0">
                  <c:v>0</c:v>
                </c:pt>
                <c:pt idx="1">
                  <c:v>0</c:v>
                </c:pt>
              </c:numCache>
            </c:numRef>
          </c:yVal>
          <c:smooth val="1"/>
        </c:ser>
        <c:ser>
          <c:idx val="5"/>
          <c:order val="5"/>
          <c:tx>
            <c:strRef>
              <c:f>Diagram!$S$7</c:f>
              <c:strCache>
                <c:ptCount val="1"/>
                <c:pt idx="0">
                  <c:v>axis</c:v>
                </c:pt>
              </c:strCache>
            </c:strRef>
          </c:tx>
          <c:spPr>
            <a:ln w="44450" cap="rnd">
              <a:solidFill>
                <a:schemeClr val="tx1"/>
              </a:solidFill>
              <a:round/>
            </a:ln>
            <a:effectLst/>
          </c:spPr>
          <c:marker>
            <c:symbol val="none"/>
          </c:marker>
          <c:xVal>
            <c:numRef>
              <c:f>Diagram!$S$12:$S$13</c:f>
              <c:numCache>
                <c:formatCode>General</c:formatCode>
                <c:ptCount val="2"/>
                <c:pt idx="0">
                  <c:v>0</c:v>
                </c:pt>
                <c:pt idx="1">
                  <c:v>0</c:v>
                </c:pt>
              </c:numCache>
            </c:numRef>
          </c:xVal>
          <c:yVal>
            <c:numRef>
              <c:f>Diagram!$T$12:$T$13</c:f>
              <c:numCache>
                <c:formatCode>General</c:formatCode>
                <c:ptCount val="2"/>
                <c:pt idx="0">
                  <c:v>100</c:v>
                </c:pt>
                <c:pt idx="1">
                  <c:v>0</c:v>
                </c:pt>
              </c:numCache>
            </c:numRef>
          </c:yVal>
          <c:smooth val="1"/>
        </c:ser>
        <c:ser>
          <c:idx val="6"/>
          <c:order val="6"/>
          <c:tx>
            <c:v>p1p20</c:v>
          </c:tx>
          <c:spPr>
            <a:ln w="9525" cap="rnd">
              <a:solidFill>
                <a:srgbClr val="FF0000"/>
              </a:solidFill>
              <a:round/>
            </a:ln>
            <a:effectLst/>
          </c:spPr>
          <c:marker>
            <c:symbol val="none"/>
          </c:marker>
          <c:xVal>
            <c:numRef>
              <c:f>Diagram!$U$9:$U$11</c:f>
              <c:numCache>
                <c:formatCode>General</c:formatCode>
                <c:ptCount val="3"/>
                <c:pt idx="0">
                  <c:v>75.260510626624011</c:v>
                </c:pt>
                <c:pt idx="1">
                  <c:v>0</c:v>
                </c:pt>
                <c:pt idx="2">
                  <c:v>107.51501518089144</c:v>
                </c:pt>
              </c:numCache>
            </c:numRef>
          </c:xVal>
          <c:yVal>
            <c:numRef>
              <c:f>Diagram!$V$9:$V$11</c:f>
              <c:numCache>
                <c:formatCode>General</c:formatCode>
                <c:ptCount val="3"/>
                <c:pt idx="0">
                  <c:v>39.450043908413406</c:v>
                </c:pt>
                <c:pt idx="1">
                  <c:v>131.500146361378</c:v>
                </c:pt>
                <c:pt idx="2">
                  <c:v>0</c:v>
                </c:pt>
              </c:numCache>
            </c:numRef>
          </c:yVal>
          <c:smooth val="1"/>
        </c:ser>
        <c:ser>
          <c:idx val="7"/>
          <c:order val="7"/>
          <c:tx>
            <c:v>p1p21</c:v>
          </c:tx>
          <c:spPr>
            <a:ln w="9525" cap="rnd">
              <a:solidFill>
                <a:srgbClr val="FF0000"/>
              </a:solidFill>
              <a:prstDash val="dash"/>
              <a:round/>
            </a:ln>
            <a:effectLst/>
          </c:spPr>
          <c:marker>
            <c:symbol val="none"/>
          </c:marker>
          <c:xVal>
            <c:numRef>
              <c:f>Diagram!$U$12:$U$14</c:f>
              <c:numCache>
                <c:formatCode>General</c:formatCode>
                <c:ptCount val="3"/>
                <c:pt idx="0">
                  <c:v>53.18941110972235</c:v>
                </c:pt>
                <c:pt idx="1">
                  <c:v>0</c:v>
                </c:pt>
                <c:pt idx="2">
                  <c:v>75.984873013889072</c:v>
                </c:pt>
              </c:numCache>
            </c:numRef>
          </c:xVal>
          <c:yVal>
            <c:numRef>
              <c:f>Diagram!$V$12:$V$14</c:f>
              <c:numCache>
                <c:formatCode>General</c:formatCode>
                <c:ptCount val="3"/>
                <c:pt idx="0">
                  <c:v>33.810458171237343</c:v>
                </c:pt>
                <c:pt idx="1">
                  <c:v>112.7015272374578</c:v>
                </c:pt>
                <c:pt idx="2">
                  <c:v>0</c:v>
                </c:pt>
              </c:numCache>
            </c:numRef>
          </c:yVal>
          <c:smooth val="1"/>
        </c:ser>
        <c:dLbls>
          <c:showLegendKey val="0"/>
          <c:showVal val="0"/>
          <c:showCatName val="0"/>
          <c:showSerName val="0"/>
          <c:showPercent val="0"/>
          <c:showBubbleSize val="0"/>
        </c:dLbls>
        <c:axId val="-1251339744"/>
        <c:axId val="-1251340288"/>
      </c:scatterChart>
      <c:valAx>
        <c:axId val="-1251339744"/>
        <c:scaling>
          <c:orientation val="minMax"/>
          <c:max val="100"/>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1340288"/>
        <c:crosses val="autoZero"/>
        <c:crossBetween val="midCat"/>
      </c:valAx>
      <c:valAx>
        <c:axId val="-1251340288"/>
        <c:scaling>
          <c:orientation val="minMax"/>
          <c:max val="10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1339744"/>
        <c:crosses val="autoZero"/>
        <c:crossBetween val="midCat"/>
      </c:valAx>
      <c:spPr>
        <a:solidFill>
          <a:schemeClr val="accent6">
            <a:lumMod val="20000"/>
            <a:lumOff val="80000"/>
          </a:schemeClr>
        </a:solidFill>
        <a:ln>
          <a:noFill/>
        </a:ln>
        <a:effectLst/>
      </c:spPr>
    </c:plotArea>
    <c:plotVisOnly val="0"/>
    <c:dispBlanksAs val="gap"/>
    <c:showDLblsOverMax val="0"/>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22" fmlaLink="$AO$6" max="100" page="10" val="100"/>
</file>

<file path=xl/ctrlProps/ctrlProp2.xml><?xml version="1.0" encoding="utf-8"?>
<formControlPr xmlns="http://schemas.microsoft.com/office/spreadsheetml/2009/9/main" objectType="Spin" dx="22" fmlaLink="$AP$6" max="100" page="10" val="68"/>
</file>

<file path=xl/ctrlProps/ctrlProp3.xml><?xml version="1.0" encoding="utf-8"?>
<formControlPr xmlns="http://schemas.microsoft.com/office/spreadsheetml/2009/9/main" objectType="Spin" dx="22" fmlaLink="$AQ$7" max="100" page="10" val="50"/>
</file>

<file path=xl/ctrlProps/ctrlProp4.xml><?xml version="1.0" encoding="utf-8"?>
<formControlPr xmlns="http://schemas.microsoft.com/office/spreadsheetml/2009/9/main" objectType="Spin" dx="22" fmlaLink="$AS$7" max="100" page="10" val="10"/>
</file>

<file path=xl/ctrlProps/ctrlProp5.xml><?xml version="1.0" encoding="utf-8"?>
<formControlPr xmlns="http://schemas.microsoft.com/office/spreadsheetml/2009/9/main" objectType="Spin" dx="22" fmlaLink="$AT$7" max="100" page="10" val="60"/>
</file>

<file path=xl/ctrlProps/ctrlProp6.xml><?xml version="1.0" encoding="utf-8"?>
<formControlPr xmlns="http://schemas.microsoft.com/office/spreadsheetml/2009/9/main" objectType="Spin" dx="22" fmlaLink="$AU$7" max="100" page="10" val="70"/>
</file>

<file path=xl/ctrlProps/ctrlProp7.xml><?xml version="1.0" encoding="utf-8"?>
<formControlPr xmlns="http://schemas.microsoft.com/office/spreadsheetml/2009/9/main" objectType="Spin" dx="22" fmlaLink="$AR$7" max="100" page="10" val="50"/>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image" Target="../media/image1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png"/><Relationship Id="rId5" Type="http://schemas.openxmlformats.org/officeDocument/2006/relationships/image" Target="../media/image1.pn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542925</xdr:colOff>
      <xdr:row>0</xdr:row>
      <xdr:rowOff>152399</xdr:rowOff>
    </xdr:from>
    <xdr:to>
      <xdr:col>10</xdr:col>
      <xdr:colOff>9525</xdr:colOff>
      <xdr:row>27</xdr:row>
      <xdr:rowOff>9524</xdr:rowOff>
    </xdr:to>
    <xdr:sp macro="" textlink="">
      <xdr:nvSpPr>
        <xdr:cNvPr id="2" name="TextBox 1"/>
        <xdr:cNvSpPr txBox="1"/>
      </xdr:nvSpPr>
      <xdr:spPr>
        <a:xfrm>
          <a:off x="542925" y="152399"/>
          <a:ext cx="5562600" cy="5000625"/>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b="1">
              <a:solidFill>
                <a:schemeClr val="dk1"/>
              </a:solidFill>
              <a:effectLst/>
              <a:latin typeface="+mn-lt"/>
              <a:ea typeface="+mn-ea"/>
              <a:cs typeface="+mn-cs"/>
            </a:rPr>
            <a:t>Alat peraga simulasi keseimbangan umum berbasis Microsoft Excel</a:t>
          </a:r>
          <a:endParaRPr lang="en-US" sz="1100">
            <a:solidFill>
              <a:schemeClr val="dk1"/>
            </a:solidFill>
            <a:effectLst/>
            <a:latin typeface="+mn-lt"/>
            <a:ea typeface="+mn-ea"/>
            <a:cs typeface="+mn-cs"/>
          </a:endParaRPr>
        </a:p>
        <a:p>
          <a:r>
            <a:rPr lang="id-ID" sz="1100">
              <a:solidFill>
                <a:schemeClr val="dk1"/>
              </a:solidFill>
              <a:effectLst/>
              <a:latin typeface="+mn-lt"/>
              <a:ea typeface="+mn-ea"/>
              <a:cs typeface="+mn-cs"/>
            </a:rPr>
            <a:t>Alat peraga ini digunakan untuk mendemonstrasikan keseimbangan umum dalam perekonomian tertutup dengan dua barang dan dua faktor produksi (modal dan tenaga kerja) sebuah sub-topik dari teori ilmu ekonomi mikro. Pengajar atau siswa dapat merubah-rubah parameter seperti jumlah ketersediaan tenaga kerja, modal, parameter fungsi produksi dan parameter selera konsumen untuk melihat dampaknya secara grafis pada keseimbangan umum yang baru. Alat peraga ini diprogram dengan software Microsoft Excel berbasis persamaan-persamaan teoritis yg mendasarinya.</a:t>
          </a:r>
          <a:endParaRPr lang="en-US" sz="1100">
            <a:solidFill>
              <a:schemeClr val="dk1"/>
            </a:solidFill>
            <a:effectLst/>
            <a:latin typeface="+mn-lt"/>
            <a:ea typeface="+mn-ea"/>
            <a:cs typeface="+mn-cs"/>
          </a:endParaRPr>
        </a:p>
        <a:p>
          <a:endParaRPr lang="id-ID" sz="1100"/>
        </a:p>
        <a:p>
          <a:r>
            <a:rPr lang="id-ID" sz="1100"/>
            <a:t>Grafik pada worksheet</a:t>
          </a:r>
          <a:r>
            <a:rPr lang="id-ID" sz="1100" baseline="0"/>
            <a:t> Diagram adalah representasi dari persamaan-persaamaan berikut:</a:t>
          </a:r>
        </a:p>
        <a:p>
          <a:endParaRPr lang="id-ID" sz="1100"/>
        </a:p>
        <a:p>
          <a:r>
            <a:rPr lang="id-ID" sz="1100"/>
            <a:t>Teknologi/fungsi produksi</a:t>
          </a:r>
        </a:p>
        <a:p>
          <a:endParaRPr lang="id-ID" sz="1100"/>
        </a:p>
        <a:p>
          <a:r>
            <a:rPr lang="id-ID" sz="1100"/>
            <a:t>Perefensi konsumen</a:t>
          </a:r>
        </a:p>
        <a:p>
          <a:endParaRPr lang="id-ID" sz="1100"/>
        </a:p>
        <a:p>
          <a:r>
            <a:rPr lang="id-ID" sz="1100"/>
            <a:t>Endowment</a:t>
          </a:r>
        </a:p>
        <a:p>
          <a:endParaRPr lang="id-ID" sz="1100"/>
        </a:p>
        <a:p>
          <a:r>
            <a:rPr lang="id-ID" sz="1100" b="1"/>
            <a:t>Instruksi simulasi</a:t>
          </a:r>
          <a:endParaRPr lang="id-ID" sz="1100" b="0"/>
        </a:p>
        <a:p>
          <a:r>
            <a:rPr lang="id-ID" sz="1100" b="0"/>
            <a:t>Untuk melakukan simulasi pengguna</a:t>
          </a:r>
          <a:r>
            <a:rPr lang="id-ID" sz="1100" b="0" baseline="0"/>
            <a:t> alat peraga dapat membuka sheet "Diagram" dan parameter dapat dirubah-rubah menggunakan panel berikut:</a:t>
          </a:r>
        </a:p>
        <a:p>
          <a:endParaRPr lang="id-ID" sz="1100" b="1"/>
        </a:p>
        <a:p>
          <a:endParaRPr lang="id-ID" sz="1100" b="1"/>
        </a:p>
        <a:p>
          <a:endParaRPr lang="id-ID" sz="1100" b="1"/>
        </a:p>
        <a:p>
          <a:endParaRPr lang="id-ID" sz="1100" b="1"/>
        </a:p>
        <a:p>
          <a:endParaRPr lang="id-ID" sz="1100" b="1"/>
        </a:p>
        <a:p>
          <a:r>
            <a:rPr lang="id-ID" sz="1100" b="0"/>
            <a:t>Dimana</a:t>
          </a:r>
          <a:r>
            <a:rPr lang="id-ID" sz="1100" b="0" baseline="0"/>
            <a:t> kalau parameter dinaikkan maka pengguna tinggal mengklik panah keatas, dan kalau parameter mau diturunkan pengguna tinggal mengklik panak kebawan. Otomatis grafik akan menunjukkan dampak dari perubahan tersebut.</a:t>
          </a:r>
          <a:endParaRPr lang="id-ID" sz="1100" b="0"/>
        </a:p>
      </xdr:txBody>
    </xdr:sp>
    <xdr:clientData/>
  </xdr:twoCellAnchor>
  <xdr:twoCellAnchor editAs="oneCell">
    <xdr:from>
      <xdr:col>4</xdr:col>
      <xdr:colOff>28575</xdr:colOff>
      <xdr:row>10</xdr:row>
      <xdr:rowOff>142875</xdr:rowOff>
    </xdr:from>
    <xdr:to>
      <xdr:col>7</xdr:col>
      <xdr:colOff>399775</xdr:colOff>
      <xdr:row>11</xdr:row>
      <xdr:rowOff>142851</xdr:rowOff>
    </xdr:to>
    <xdr:pic>
      <xdr:nvPicPr>
        <xdr:cNvPr id="3" name="Picture 2"/>
        <xdr:cNvPicPr>
          <a:picLocks noChangeAspect="1"/>
        </xdr:cNvPicPr>
      </xdr:nvPicPr>
      <xdr:blipFill>
        <a:blip xmlns:r="http://schemas.openxmlformats.org/officeDocument/2006/relationships" r:embed="rId1"/>
        <a:stretch>
          <a:fillRect/>
        </a:stretch>
      </xdr:blipFill>
      <xdr:spPr>
        <a:xfrm>
          <a:off x="2466975" y="2047875"/>
          <a:ext cx="2200000" cy="190476"/>
        </a:xfrm>
        <a:prstGeom prst="rect">
          <a:avLst/>
        </a:prstGeom>
      </xdr:spPr>
    </xdr:pic>
    <xdr:clientData/>
  </xdr:twoCellAnchor>
  <xdr:twoCellAnchor editAs="oneCell">
    <xdr:from>
      <xdr:col>3</xdr:col>
      <xdr:colOff>114300</xdr:colOff>
      <xdr:row>12</xdr:row>
      <xdr:rowOff>142875</xdr:rowOff>
    </xdr:from>
    <xdr:to>
      <xdr:col>4</xdr:col>
      <xdr:colOff>323748</xdr:colOff>
      <xdr:row>13</xdr:row>
      <xdr:rowOff>123804</xdr:rowOff>
    </xdr:to>
    <xdr:pic>
      <xdr:nvPicPr>
        <xdr:cNvPr id="4" name="Picture 3"/>
        <xdr:cNvPicPr>
          <a:picLocks noChangeAspect="1"/>
        </xdr:cNvPicPr>
      </xdr:nvPicPr>
      <xdr:blipFill>
        <a:blip xmlns:r="http://schemas.openxmlformats.org/officeDocument/2006/relationships" r:embed="rId2"/>
        <a:stretch>
          <a:fillRect/>
        </a:stretch>
      </xdr:blipFill>
      <xdr:spPr>
        <a:xfrm>
          <a:off x="1943100" y="2428875"/>
          <a:ext cx="819048" cy="171429"/>
        </a:xfrm>
        <a:prstGeom prst="rect">
          <a:avLst/>
        </a:prstGeom>
      </xdr:spPr>
    </xdr:pic>
    <xdr:clientData/>
  </xdr:twoCellAnchor>
  <xdr:twoCellAnchor editAs="oneCell">
    <xdr:from>
      <xdr:col>2</xdr:col>
      <xdr:colOff>295275</xdr:colOff>
      <xdr:row>14</xdr:row>
      <xdr:rowOff>104775</xdr:rowOff>
    </xdr:from>
    <xdr:to>
      <xdr:col>5</xdr:col>
      <xdr:colOff>447427</xdr:colOff>
      <xdr:row>15</xdr:row>
      <xdr:rowOff>114275</xdr:rowOff>
    </xdr:to>
    <xdr:pic>
      <xdr:nvPicPr>
        <xdr:cNvPr id="5" name="Picture 4"/>
        <xdr:cNvPicPr>
          <a:picLocks noChangeAspect="1"/>
        </xdr:cNvPicPr>
      </xdr:nvPicPr>
      <xdr:blipFill>
        <a:blip xmlns:r="http://schemas.openxmlformats.org/officeDocument/2006/relationships" r:embed="rId3"/>
        <a:stretch>
          <a:fillRect/>
        </a:stretch>
      </xdr:blipFill>
      <xdr:spPr>
        <a:xfrm>
          <a:off x="1514475" y="2771775"/>
          <a:ext cx="1980952" cy="200000"/>
        </a:xfrm>
        <a:prstGeom prst="rect">
          <a:avLst/>
        </a:prstGeom>
      </xdr:spPr>
    </xdr:pic>
    <xdr:clientData/>
  </xdr:twoCellAnchor>
  <xdr:twoCellAnchor editAs="oneCell">
    <xdr:from>
      <xdr:col>1</xdr:col>
      <xdr:colOff>76200</xdr:colOff>
      <xdr:row>19</xdr:row>
      <xdr:rowOff>57150</xdr:rowOff>
    </xdr:from>
    <xdr:to>
      <xdr:col>8</xdr:col>
      <xdr:colOff>589952</xdr:colOff>
      <xdr:row>23</xdr:row>
      <xdr:rowOff>123721</xdr:rowOff>
    </xdr:to>
    <xdr:pic>
      <xdr:nvPicPr>
        <xdr:cNvPr id="6" name="Picture 5"/>
        <xdr:cNvPicPr>
          <a:picLocks noChangeAspect="1"/>
        </xdr:cNvPicPr>
      </xdr:nvPicPr>
      <xdr:blipFill>
        <a:blip xmlns:r="http://schemas.openxmlformats.org/officeDocument/2006/relationships" r:embed="rId4"/>
        <a:stretch>
          <a:fillRect/>
        </a:stretch>
      </xdr:blipFill>
      <xdr:spPr>
        <a:xfrm>
          <a:off x="685800" y="3676650"/>
          <a:ext cx="4780952" cy="8285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29</xdr:col>
      <xdr:colOff>38101</xdr:colOff>
      <xdr:row>8</xdr:row>
      <xdr:rowOff>9525</xdr:rowOff>
    </xdr:from>
    <xdr:to>
      <xdr:col>39</xdr:col>
      <xdr:colOff>190500</xdr:colOff>
      <xdr:row>29</xdr:row>
      <xdr:rowOff>50799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114300</xdr:colOff>
      <xdr:row>8</xdr:row>
      <xdr:rowOff>28574</xdr:rowOff>
    </xdr:from>
    <xdr:to>
      <xdr:col>47</xdr:col>
      <xdr:colOff>523875</xdr:colOff>
      <xdr:row>28</xdr:row>
      <xdr:rowOff>180973</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31</xdr:col>
      <xdr:colOff>200025</xdr:colOff>
      <xdr:row>5</xdr:row>
      <xdr:rowOff>28575</xdr:rowOff>
    </xdr:from>
    <xdr:to>
      <xdr:col>32</xdr:col>
      <xdr:colOff>409473</xdr:colOff>
      <xdr:row>6</xdr:row>
      <xdr:rowOff>9504</xdr:rowOff>
    </xdr:to>
    <xdr:pic>
      <xdr:nvPicPr>
        <xdr:cNvPr id="3" name="Picture 2"/>
        <xdr:cNvPicPr>
          <a:picLocks noChangeAspect="1"/>
        </xdr:cNvPicPr>
      </xdr:nvPicPr>
      <xdr:blipFill>
        <a:blip xmlns:r="http://schemas.openxmlformats.org/officeDocument/2006/relationships" r:embed="rId3"/>
        <a:stretch>
          <a:fillRect/>
        </a:stretch>
      </xdr:blipFill>
      <xdr:spPr>
        <a:xfrm>
          <a:off x="18116550" y="981075"/>
          <a:ext cx="819048" cy="171429"/>
        </a:xfrm>
        <a:prstGeom prst="rect">
          <a:avLst/>
        </a:prstGeom>
      </xdr:spPr>
    </xdr:pic>
    <xdr:clientData/>
  </xdr:twoCellAnchor>
  <xdr:twoCellAnchor editAs="oneCell">
    <xdr:from>
      <xdr:col>31</xdr:col>
      <xdr:colOff>219075</xdr:colOff>
      <xdr:row>6</xdr:row>
      <xdr:rowOff>9525</xdr:rowOff>
    </xdr:from>
    <xdr:to>
      <xdr:col>34</xdr:col>
      <xdr:colOff>371227</xdr:colOff>
      <xdr:row>7</xdr:row>
      <xdr:rowOff>19025</xdr:rowOff>
    </xdr:to>
    <xdr:pic>
      <xdr:nvPicPr>
        <xdr:cNvPr id="4" name="Picture 3"/>
        <xdr:cNvPicPr>
          <a:picLocks noChangeAspect="1"/>
        </xdr:cNvPicPr>
      </xdr:nvPicPr>
      <xdr:blipFill>
        <a:blip xmlns:r="http://schemas.openxmlformats.org/officeDocument/2006/relationships" r:embed="rId4"/>
        <a:stretch>
          <a:fillRect/>
        </a:stretch>
      </xdr:blipFill>
      <xdr:spPr>
        <a:xfrm>
          <a:off x="18135600" y="1152525"/>
          <a:ext cx="1980952" cy="200000"/>
        </a:xfrm>
        <a:prstGeom prst="rect">
          <a:avLst/>
        </a:prstGeom>
      </xdr:spPr>
    </xdr:pic>
    <xdr:clientData/>
  </xdr:twoCellAnchor>
  <xdr:twoCellAnchor editAs="oneCell">
    <xdr:from>
      <xdr:col>31</xdr:col>
      <xdr:colOff>247650</xdr:colOff>
      <xdr:row>4</xdr:row>
      <xdr:rowOff>28575</xdr:rowOff>
    </xdr:from>
    <xdr:to>
      <xdr:col>35</xdr:col>
      <xdr:colOff>9250</xdr:colOff>
      <xdr:row>5</xdr:row>
      <xdr:rowOff>28551</xdr:rowOff>
    </xdr:to>
    <xdr:pic>
      <xdr:nvPicPr>
        <xdr:cNvPr id="5" name="Picture 4"/>
        <xdr:cNvPicPr>
          <a:picLocks noChangeAspect="1"/>
        </xdr:cNvPicPr>
      </xdr:nvPicPr>
      <xdr:blipFill>
        <a:blip xmlns:r="http://schemas.openxmlformats.org/officeDocument/2006/relationships" r:embed="rId5"/>
        <a:stretch>
          <a:fillRect/>
        </a:stretch>
      </xdr:blipFill>
      <xdr:spPr>
        <a:xfrm>
          <a:off x="18164175" y="790575"/>
          <a:ext cx="2200000" cy="190476"/>
        </a:xfrm>
        <a:prstGeom prst="rect">
          <a:avLst/>
        </a:prstGeom>
      </xdr:spPr>
    </xdr:pic>
    <xdr:clientData/>
  </xdr:twoCellAnchor>
  <mc:AlternateContent xmlns:mc="http://schemas.openxmlformats.org/markup-compatibility/2006">
    <mc:Choice xmlns:a14="http://schemas.microsoft.com/office/drawing/2010/main" Requires="a14">
      <xdr:twoCellAnchor>
        <xdr:from>
          <xdr:col>41</xdr:col>
          <xdr:colOff>19050</xdr:colOff>
          <xdr:row>5</xdr:row>
          <xdr:rowOff>0</xdr:rowOff>
        </xdr:from>
        <xdr:to>
          <xdr:col>41</xdr:col>
          <xdr:colOff>127000</xdr:colOff>
          <xdr:row>6</xdr:row>
          <xdr:rowOff>0</xdr:rowOff>
        </xdr:to>
        <xdr:sp macro="" textlink="">
          <xdr:nvSpPr>
            <xdr:cNvPr id="1026" name="Spinner 2" hidden="1">
              <a:extLst>
                <a:ext uri="{63B3BB69-23CF-44E3-9099-C40C66FF867C}">
                  <a14:compatExt spid="_x0000_s102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42</xdr:col>
          <xdr:colOff>19050</xdr:colOff>
          <xdr:row>5</xdr:row>
          <xdr:rowOff>0</xdr:rowOff>
        </xdr:from>
        <xdr:to>
          <xdr:col>42</xdr:col>
          <xdr:colOff>127000</xdr:colOff>
          <xdr:row>6</xdr:row>
          <xdr:rowOff>0</xdr:rowOff>
        </xdr:to>
        <xdr:sp macro="" textlink="">
          <xdr:nvSpPr>
            <xdr:cNvPr id="1027" name="Spinner 3" hidden="1">
              <a:extLst>
                <a:ext uri="{63B3BB69-23CF-44E3-9099-C40C66FF867C}">
                  <a14:compatExt spid="_x0000_s1027"/>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40</xdr:col>
      <xdr:colOff>323850</xdr:colOff>
      <xdr:row>2</xdr:row>
      <xdr:rowOff>152400</xdr:rowOff>
    </xdr:from>
    <xdr:to>
      <xdr:col>41</xdr:col>
      <xdr:colOff>9496</xdr:colOff>
      <xdr:row>3</xdr:row>
      <xdr:rowOff>190471</xdr:rowOff>
    </xdr:to>
    <xdr:pic>
      <xdr:nvPicPr>
        <xdr:cNvPr id="9" name="Picture 8"/>
        <xdr:cNvPicPr>
          <a:picLocks noChangeAspect="1"/>
        </xdr:cNvPicPr>
      </xdr:nvPicPr>
      <xdr:blipFill>
        <a:blip xmlns:r="http://schemas.openxmlformats.org/officeDocument/2006/relationships" r:embed="rId6"/>
        <a:stretch>
          <a:fillRect/>
        </a:stretch>
      </xdr:blipFill>
      <xdr:spPr>
        <a:xfrm>
          <a:off x="23783925" y="533400"/>
          <a:ext cx="228571" cy="228571"/>
        </a:xfrm>
        <a:prstGeom prst="rect">
          <a:avLst/>
        </a:prstGeom>
      </xdr:spPr>
    </xdr:pic>
    <xdr:clientData/>
  </xdr:twoCellAnchor>
  <xdr:twoCellAnchor editAs="oneCell">
    <xdr:from>
      <xdr:col>41</xdr:col>
      <xdr:colOff>323850</xdr:colOff>
      <xdr:row>2</xdr:row>
      <xdr:rowOff>171450</xdr:rowOff>
    </xdr:from>
    <xdr:to>
      <xdr:col>41</xdr:col>
      <xdr:colOff>533374</xdr:colOff>
      <xdr:row>4</xdr:row>
      <xdr:rowOff>9498</xdr:rowOff>
    </xdr:to>
    <xdr:pic>
      <xdr:nvPicPr>
        <xdr:cNvPr id="11" name="Picture 10"/>
        <xdr:cNvPicPr>
          <a:picLocks noChangeAspect="1"/>
        </xdr:cNvPicPr>
      </xdr:nvPicPr>
      <xdr:blipFill>
        <a:blip xmlns:r="http://schemas.openxmlformats.org/officeDocument/2006/relationships" r:embed="rId7"/>
        <a:stretch>
          <a:fillRect/>
        </a:stretch>
      </xdr:blipFill>
      <xdr:spPr>
        <a:xfrm>
          <a:off x="24326850" y="552450"/>
          <a:ext cx="209524" cy="219048"/>
        </a:xfrm>
        <a:prstGeom prst="rect">
          <a:avLst/>
        </a:prstGeom>
      </xdr:spPr>
    </xdr:pic>
    <xdr:clientData/>
  </xdr:twoCellAnchor>
  <xdr:twoCellAnchor editAs="oneCell">
    <xdr:from>
      <xdr:col>42</xdr:col>
      <xdr:colOff>342900</xdr:colOff>
      <xdr:row>3</xdr:row>
      <xdr:rowOff>0</xdr:rowOff>
    </xdr:from>
    <xdr:to>
      <xdr:col>42</xdr:col>
      <xdr:colOff>523852</xdr:colOff>
      <xdr:row>3</xdr:row>
      <xdr:rowOff>180952</xdr:rowOff>
    </xdr:to>
    <xdr:pic>
      <xdr:nvPicPr>
        <xdr:cNvPr id="12" name="Picture 11"/>
        <xdr:cNvPicPr>
          <a:picLocks noChangeAspect="1"/>
        </xdr:cNvPicPr>
      </xdr:nvPicPr>
      <xdr:blipFill>
        <a:blip xmlns:r="http://schemas.openxmlformats.org/officeDocument/2006/relationships" r:embed="rId8"/>
        <a:stretch>
          <a:fillRect/>
        </a:stretch>
      </xdr:blipFill>
      <xdr:spPr>
        <a:xfrm>
          <a:off x="24888825" y="571500"/>
          <a:ext cx="180952" cy="180952"/>
        </a:xfrm>
        <a:prstGeom prst="rect">
          <a:avLst/>
        </a:prstGeom>
      </xdr:spPr>
    </xdr:pic>
    <xdr:clientData/>
  </xdr:twoCellAnchor>
  <xdr:twoCellAnchor editAs="oneCell">
    <xdr:from>
      <xdr:col>43</xdr:col>
      <xdr:colOff>352425</xdr:colOff>
      <xdr:row>3</xdr:row>
      <xdr:rowOff>0</xdr:rowOff>
    </xdr:from>
    <xdr:to>
      <xdr:col>43</xdr:col>
      <xdr:colOff>533377</xdr:colOff>
      <xdr:row>3</xdr:row>
      <xdr:rowOff>190476</xdr:rowOff>
    </xdr:to>
    <xdr:pic>
      <xdr:nvPicPr>
        <xdr:cNvPr id="13" name="Picture 12"/>
        <xdr:cNvPicPr>
          <a:picLocks noChangeAspect="1"/>
        </xdr:cNvPicPr>
      </xdr:nvPicPr>
      <xdr:blipFill>
        <a:blip xmlns:r="http://schemas.openxmlformats.org/officeDocument/2006/relationships" r:embed="rId9"/>
        <a:stretch>
          <a:fillRect/>
        </a:stretch>
      </xdr:blipFill>
      <xdr:spPr>
        <a:xfrm>
          <a:off x="25441275" y="571500"/>
          <a:ext cx="180952" cy="190476"/>
        </a:xfrm>
        <a:prstGeom prst="rect">
          <a:avLst/>
        </a:prstGeom>
      </xdr:spPr>
    </xdr:pic>
    <xdr:clientData/>
  </xdr:twoCellAnchor>
  <xdr:twoCellAnchor editAs="oneCell">
    <xdr:from>
      <xdr:col>44</xdr:col>
      <xdr:colOff>361950</xdr:colOff>
      <xdr:row>3</xdr:row>
      <xdr:rowOff>47625</xdr:rowOff>
    </xdr:from>
    <xdr:to>
      <xdr:col>45</xdr:col>
      <xdr:colOff>66644</xdr:colOff>
      <xdr:row>3</xdr:row>
      <xdr:rowOff>190482</xdr:rowOff>
    </xdr:to>
    <xdr:pic>
      <xdr:nvPicPr>
        <xdr:cNvPr id="14" name="Picture 13"/>
        <xdr:cNvPicPr>
          <a:picLocks noChangeAspect="1"/>
        </xdr:cNvPicPr>
      </xdr:nvPicPr>
      <xdr:blipFill>
        <a:blip xmlns:r="http://schemas.openxmlformats.org/officeDocument/2006/relationships" r:embed="rId10"/>
        <a:stretch>
          <a:fillRect/>
        </a:stretch>
      </xdr:blipFill>
      <xdr:spPr>
        <a:xfrm>
          <a:off x="25993725" y="619125"/>
          <a:ext cx="247619" cy="142857"/>
        </a:xfrm>
        <a:prstGeom prst="rect">
          <a:avLst/>
        </a:prstGeom>
      </xdr:spPr>
    </xdr:pic>
    <xdr:clientData/>
  </xdr:twoCellAnchor>
  <xdr:twoCellAnchor editAs="oneCell">
    <xdr:from>
      <xdr:col>45</xdr:col>
      <xdr:colOff>361950</xdr:colOff>
      <xdr:row>3</xdr:row>
      <xdr:rowOff>0</xdr:rowOff>
    </xdr:from>
    <xdr:to>
      <xdr:col>46</xdr:col>
      <xdr:colOff>38073</xdr:colOff>
      <xdr:row>3</xdr:row>
      <xdr:rowOff>180952</xdr:rowOff>
    </xdr:to>
    <xdr:pic>
      <xdr:nvPicPr>
        <xdr:cNvPr id="15" name="Picture 14"/>
        <xdr:cNvPicPr>
          <a:picLocks noChangeAspect="1"/>
        </xdr:cNvPicPr>
      </xdr:nvPicPr>
      <xdr:blipFill>
        <a:blip xmlns:r="http://schemas.openxmlformats.org/officeDocument/2006/relationships" r:embed="rId11"/>
        <a:stretch>
          <a:fillRect/>
        </a:stretch>
      </xdr:blipFill>
      <xdr:spPr>
        <a:xfrm>
          <a:off x="26536650" y="571500"/>
          <a:ext cx="219048" cy="180952"/>
        </a:xfrm>
        <a:prstGeom prst="rect">
          <a:avLst/>
        </a:prstGeom>
      </xdr:spPr>
    </xdr:pic>
    <xdr:clientData/>
  </xdr:twoCellAnchor>
  <xdr:twoCellAnchor editAs="oneCell">
    <xdr:from>
      <xdr:col>46</xdr:col>
      <xdr:colOff>323850</xdr:colOff>
      <xdr:row>3</xdr:row>
      <xdr:rowOff>19050</xdr:rowOff>
    </xdr:from>
    <xdr:to>
      <xdr:col>47</xdr:col>
      <xdr:colOff>47592</xdr:colOff>
      <xdr:row>3</xdr:row>
      <xdr:rowOff>180955</xdr:rowOff>
    </xdr:to>
    <xdr:pic>
      <xdr:nvPicPr>
        <xdr:cNvPr id="16" name="Picture 15"/>
        <xdr:cNvPicPr>
          <a:picLocks noChangeAspect="1"/>
        </xdr:cNvPicPr>
      </xdr:nvPicPr>
      <xdr:blipFill>
        <a:blip xmlns:r="http://schemas.openxmlformats.org/officeDocument/2006/relationships" r:embed="rId12"/>
        <a:stretch>
          <a:fillRect/>
        </a:stretch>
      </xdr:blipFill>
      <xdr:spPr>
        <a:xfrm>
          <a:off x="27041475" y="590550"/>
          <a:ext cx="266667" cy="161905"/>
        </a:xfrm>
        <a:prstGeom prst="rect">
          <a:avLst/>
        </a:prstGeom>
      </xdr:spPr>
    </xdr:pic>
    <xdr:clientData/>
  </xdr:twoCellAnchor>
  <mc:AlternateContent xmlns:mc="http://schemas.openxmlformats.org/markup-compatibility/2006">
    <mc:Choice xmlns:a14="http://schemas.microsoft.com/office/drawing/2010/main" Requires="a14">
      <xdr:twoCellAnchor>
        <xdr:from>
          <xdr:col>43</xdr:col>
          <xdr:colOff>31750</xdr:colOff>
          <xdr:row>5</xdr:row>
          <xdr:rowOff>0</xdr:rowOff>
        </xdr:from>
        <xdr:to>
          <xdr:col>43</xdr:col>
          <xdr:colOff>133350</xdr:colOff>
          <xdr:row>6</xdr:row>
          <xdr:rowOff>0</xdr:rowOff>
        </xdr:to>
        <xdr:sp macro="" textlink="">
          <xdr:nvSpPr>
            <xdr:cNvPr id="1028" name="Spinner 4" hidden="1">
              <a:extLst>
                <a:ext uri="{63B3BB69-23CF-44E3-9099-C40C66FF867C}">
                  <a14:compatExt spid="_x0000_s102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45</xdr:col>
          <xdr:colOff>19050</xdr:colOff>
          <xdr:row>5</xdr:row>
          <xdr:rowOff>0</xdr:rowOff>
        </xdr:from>
        <xdr:to>
          <xdr:col>45</xdr:col>
          <xdr:colOff>127000</xdr:colOff>
          <xdr:row>6</xdr:row>
          <xdr:rowOff>0</xdr:rowOff>
        </xdr:to>
        <xdr:sp macro="" textlink="">
          <xdr:nvSpPr>
            <xdr:cNvPr id="1030" name="Spinner 6" hidden="1">
              <a:extLst>
                <a:ext uri="{63B3BB69-23CF-44E3-9099-C40C66FF867C}">
                  <a14:compatExt spid="_x0000_s10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46</xdr:col>
          <xdr:colOff>19050</xdr:colOff>
          <xdr:row>5</xdr:row>
          <xdr:rowOff>0</xdr:rowOff>
        </xdr:from>
        <xdr:to>
          <xdr:col>46</xdr:col>
          <xdr:colOff>127000</xdr:colOff>
          <xdr:row>6</xdr:row>
          <xdr:rowOff>0</xdr:rowOff>
        </xdr:to>
        <xdr:sp macro="" textlink="">
          <xdr:nvSpPr>
            <xdr:cNvPr id="1031" name="Spinner 7" hidden="1">
              <a:extLst>
                <a:ext uri="{63B3BB69-23CF-44E3-9099-C40C66FF867C}">
                  <a14:compatExt spid="_x0000_s103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47</xdr:col>
          <xdr:colOff>19050</xdr:colOff>
          <xdr:row>5</xdr:row>
          <xdr:rowOff>0</xdr:rowOff>
        </xdr:from>
        <xdr:to>
          <xdr:col>47</xdr:col>
          <xdr:colOff>127000</xdr:colOff>
          <xdr:row>6</xdr:row>
          <xdr:rowOff>0</xdr:rowOff>
        </xdr:to>
        <xdr:sp macro="" textlink="">
          <xdr:nvSpPr>
            <xdr:cNvPr id="1032" name="Spinner 8" hidden="1">
              <a:extLst>
                <a:ext uri="{63B3BB69-23CF-44E3-9099-C40C66FF867C}">
                  <a14:compatExt spid="_x0000_s103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44</xdr:col>
          <xdr:colOff>31750</xdr:colOff>
          <xdr:row>5</xdr:row>
          <xdr:rowOff>0</xdr:rowOff>
        </xdr:from>
        <xdr:to>
          <xdr:col>44</xdr:col>
          <xdr:colOff>133350</xdr:colOff>
          <xdr:row>6</xdr:row>
          <xdr:rowOff>0</xdr:rowOff>
        </xdr:to>
        <xdr:sp macro="" textlink="">
          <xdr:nvSpPr>
            <xdr:cNvPr id="1033" name="Spinner 9" hidden="1">
              <a:extLst>
                <a:ext uri="{63B3BB69-23CF-44E3-9099-C40C66FF867C}">
                  <a14:compatExt spid="_x0000_s1033"/>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c:userShapes xmlns:c="http://schemas.openxmlformats.org/drawingml/2006/chart">
  <cdr:relSizeAnchor xmlns:cdr="http://schemas.openxmlformats.org/drawingml/2006/chartDrawing">
    <cdr:from>
      <cdr:x>0.53055</cdr:x>
      <cdr:y>0.0232</cdr:y>
    </cdr:from>
    <cdr:to>
      <cdr:x>0.92915</cdr:x>
      <cdr:y>0.04992</cdr:y>
    </cdr:to>
    <cdr:grpSp>
      <cdr:nvGrpSpPr>
        <cdr:cNvPr id="17" name="Group 16"/>
        <cdr:cNvGrpSpPr/>
      </cdr:nvGrpSpPr>
      <cdr:grpSpPr>
        <a:xfrm xmlns:a="http://schemas.openxmlformats.org/drawingml/2006/main">
          <a:off x="3491960" y="89902"/>
          <a:ext cx="2623495" cy="103542"/>
          <a:chOff x="3353844" y="93784"/>
          <a:chExt cx="2541109" cy="108000"/>
        </a:xfrm>
      </cdr:grpSpPr>
      <cdr:cxnSp macro="">
        <cdr:nvCxnSpPr>
          <cdr:cNvPr id="6" name="Straight Arrow Connector 5"/>
          <cdr:cNvCxnSpPr/>
        </cdr:nvCxnSpPr>
        <cdr:spPr>
          <a:xfrm xmlns:a="http://schemas.openxmlformats.org/drawingml/2006/main" flipH="1">
            <a:off x="3353844" y="142875"/>
            <a:ext cx="2536762" cy="0"/>
          </a:xfrm>
          <a:prstGeom xmlns:a="http://schemas.openxmlformats.org/drawingml/2006/main" prst="straightConnector1">
            <a:avLst/>
          </a:prstGeom>
          <a:ln xmlns:a="http://schemas.openxmlformats.org/drawingml/2006/main">
            <a:solidFill>
              <a:sysClr val="windowText" lastClr="000000"/>
            </a:solidFill>
            <a:headEnd type="none" w="med" len="sm"/>
            <a:tailEnd type="arrow" w="med"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16" name="Straight Connector 15"/>
          <cdr:cNvCxnSpPr/>
        </cdr:nvCxnSpPr>
        <cdr:spPr>
          <a:xfrm xmlns:a="http://schemas.openxmlformats.org/drawingml/2006/main">
            <a:off x="5894953" y="93784"/>
            <a:ext cx="0" cy="108000"/>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grpSp>
  </cdr:relSizeAnchor>
  <cdr:relSizeAnchor xmlns:cdr="http://schemas.openxmlformats.org/drawingml/2006/chartDrawing">
    <cdr:from>
      <cdr:x>0.94495</cdr:x>
      <cdr:y>0.07306</cdr:y>
    </cdr:from>
    <cdr:to>
      <cdr:x>0.96185</cdr:x>
      <cdr:y>0.46248</cdr:y>
    </cdr:to>
    <cdr:grpSp>
      <cdr:nvGrpSpPr>
        <cdr:cNvPr id="18" name="Group 17"/>
        <cdr:cNvGrpSpPr/>
      </cdr:nvGrpSpPr>
      <cdr:grpSpPr>
        <a:xfrm xmlns:a="http://schemas.openxmlformats.org/drawingml/2006/main" rot="16200000">
          <a:off x="5520545" y="982016"/>
          <a:ext cx="1509036" cy="111232"/>
          <a:chOff x="3353844" y="93784"/>
          <a:chExt cx="2541109" cy="108000"/>
        </a:xfrm>
      </cdr:grpSpPr>
      <cdr:cxnSp macro="">
        <cdr:nvCxnSpPr>
          <cdr:cNvPr id="19" name="Straight Arrow Connector 18"/>
          <cdr:cNvCxnSpPr/>
        </cdr:nvCxnSpPr>
        <cdr:spPr>
          <a:xfrm xmlns:a="http://schemas.openxmlformats.org/drawingml/2006/main" flipH="1">
            <a:off x="3353844" y="142875"/>
            <a:ext cx="2536762" cy="0"/>
          </a:xfrm>
          <a:prstGeom xmlns:a="http://schemas.openxmlformats.org/drawingml/2006/main" prst="straightConnector1">
            <a:avLst/>
          </a:prstGeom>
          <a:ln xmlns:a="http://schemas.openxmlformats.org/drawingml/2006/main">
            <a:solidFill>
              <a:sysClr val="windowText" lastClr="000000"/>
            </a:solidFill>
            <a:headEnd type="none" w="med" len="sm"/>
            <a:tailEnd type="arrow" w="med"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20" name="Straight Connector 19"/>
          <cdr:cNvCxnSpPr/>
        </cdr:nvCxnSpPr>
        <cdr:spPr>
          <a:xfrm xmlns:a="http://schemas.openxmlformats.org/drawingml/2006/main">
            <a:off x="5894953" y="93784"/>
            <a:ext cx="0" cy="108000"/>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grpSp>
  </cdr:relSizeAnchor>
  <cdr:relSizeAnchor xmlns:cdr="http://schemas.openxmlformats.org/drawingml/2006/chartDrawing">
    <cdr:from>
      <cdr:x>0.1129</cdr:x>
      <cdr:y>0.93808</cdr:y>
    </cdr:from>
    <cdr:to>
      <cdr:x>0.35917</cdr:x>
      <cdr:y>0.9648</cdr:y>
    </cdr:to>
    <cdr:grpSp>
      <cdr:nvGrpSpPr>
        <cdr:cNvPr id="21" name="Group 20"/>
        <cdr:cNvGrpSpPr/>
      </cdr:nvGrpSpPr>
      <cdr:grpSpPr>
        <a:xfrm xmlns:a="http://schemas.openxmlformats.org/drawingml/2006/main" rot="10800000">
          <a:off x="743082" y="3635142"/>
          <a:ext cx="1620894" cy="103542"/>
          <a:chOff x="3353844" y="93784"/>
          <a:chExt cx="2541109" cy="108000"/>
        </a:xfrm>
      </cdr:grpSpPr>
      <cdr:cxnSp macro="">
        <cdr:nvCxnSpPr>
          <cdr:cNvPr id="22" name="Straight Arrow Connector 21"/>
          <cdr:cNvCxnSpPr/>
        </cdr:nvCxnSpPr>
        <cdr:spPr>
          <a:xfrm xmlns:a="http://schemas.openxmlformats.org/drawingml/2006/main" flipH="1">
            <a:off x="3353844" y="142875"/>
            <a:ext cx="2536761" cy="0"/>
          </a:xfrm>
          <a:prstGeom xmlns:a="http://schemas.openxmlformats.org/drawingml/2006/main" prst="straightConnector1">
            <a:avLst/>
          </a:prstGeom>
          <a:ln xmlns:a="http://schemas.openxmlformats.org/drawingml/2006/main">
            <a:solidFill>
              <a:sysClr val="windowText" lastClr="000000"/>
            </a:solidFill>
            <a:headEnd type="none" w="med" len="sm"/>
            <a:tailEnd type="arrow" w="med"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23" name="Straight Connector 22"/>
          <cdr:cNvCxnSpPr/>
        </cdr:nvCxnSpPr>
        <cdr:spPr>
          <a:xfrm xmlns:a="http://schemas.openxmlformats.org/drawingml/2006/main">
            <a:off x="5894953" y="93784"/>
            <a:ext cx="0" cy="108000"/>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grpSp>
  </cdr:relSizeAnchor>
  <cdr:relSizeAnchor xmlns:cdr="http://schemas.openxmlformats.org/drawingml/2006/chartDrawing">
    <cdr:from>
      <cdr:x>0.03682</cdr:x>
      <cdr:y>0.46211</cdr:y>
    </cdr:from>
    <cdr:to>
      <cdr:x>0.05372</cdr:x>
      <cdr:y>0.85153</cdr:y>
    </cdr:to>
    <cdr:grpSp>
      <cdr:nvGrpSpPr>
        <cdr:cNvPr id="24" name="Group 23"/>
        <cdr:cNvGrpSpPr/>
      </cdr:nvGrpSpPr>
      <cdr:grpSpPr>
        <a:xfrm xmlns:a="http://schemas.openxmlformats.org/drawingml/2006/main" rot="5400000">
          <a:off x="-456562" y="2489619"/>
          <a:ext cx="1509037" cy="111232"/>
          <a:chOff x="3353844" y="93784"/>
          <a:chExt cx="2541109" cy="108000"/>
        </a:xfrm>
      </cdr:grpSpPr>
      <cdr:cxnSp macro="">
        <cdr:nvCxnSpPr>
          <cdr:cNvPr id="25" name="Straight Arrow Connector 24"/>
          <cdr:cNvCxnSpPr/>
        </cdr:nvCxnSpPr>
        <cdr:spPr>
          <a:xfrm xmlns:a="http://schemas.openxmlformats.org/drawingml/2006/main" flipH="1">
            <a:off x="3353844" y="142875"/>
            <a:ext cx="2536761" cy="0"/>
          </a:xfrm>
          <a:prstGeom xmlns:a="http://schemas.openxmlformats.org/drawingml/2006/main" prst="straightConnector1">
            <a:avLst/>
          </a:prstGeom>
          <a:ln xmlns:a="http://schemas.openxmlformats.org/drawingml/2006/main">
            <a:solidFill>
              <a:sysClr val="windowText" lastClr="000000"/>
            </a:solidFill>
            <a:headEnd type="none" w="med" len="sm"/>
            <a:tailEnd type="arrow" w="med"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26" name="Straight Connector 25"/>
          <cdr:cNvCxnSpPr/>
        </cdr:nvCxnSpPr>
        <cdr:spPr>
          <a:xfrm xmlns:a="http://schemas.openxmlformats.org/drawingml/2006/main">
            <a:off x="5894953" y="93784"/>
            <a:ext cx="0" cy="108000"/>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grpSp>
  </cdr:relSizeAnchor>
  <cdr:relSizeAnchor xmlns:cdr="http://schemas.openxmlformats.org/drawingml/2006/chartDrawing">
    <cdr:from>
      <cdr:x>0.21013</cdr:x>
      <cdr:y>0.91673</cdr:y>
    </cdr:from>
    <cdr:to>
      <cdr:x>0.25931</cdr:x>
      <cdr:y>0.98507</cdr:y>
    </cdr:to>
    <cdr:sp macro="" textlink="">
      <cdr:nvSpPr>
        <cdr:cNvPr id="27" name="TextBox 26"/>
        <cdr:cNvSpPr txBox="1"/>
      </cdr:nvSpPr>
      <cdr:spPr>
        <a:xfrm xmlns:a="http://schemas.openxmlformats.org/drawingml/2006/main">
          <a:off x="1343024" y="3705224"/>
          <a:ext cx="314325" cy="276225"/>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pPr algn="ctr"/>
          <a:r>
            <a:rPr lang="id-ID" sz="1100"/>
            <a:t>L</a:t>
          </a:r>
          <a:r>
            <a:rPr lang="id-ID" sz="1100" baseline="-25000"/>
            <a:t>1</a:t>
          </a:r>
          <a:endParaRPr lang="en-US" sz="1100" baseline="-25000"/>
        </a:p>
      </cdr:txBody>
    </cdr:sp>
  </cdr:relSizeAnchor>
  <cdr:relSizeAnchor xmlns:cdr="http://schemas.openxmlformats.org/drawingml/2006/chartDrawing">
    <cdr:from>
      <cdr:x>0.77943</cdr:x>
      <cdr:y>0</cdr:y>
    </cdr:from>
    <cdr:to>
      <cdr:x>0.82861</cdr:x>
      <cdr:y>0.06834</cdr:y>
    </cdr:to>
    <cdr:sp macro="" textlink="">
      <cdr:nvSpPr>
        <cdr:cNvPr id="28" name="TextBox 27"/>
        <cdr:cNvSpPr txBox="1"/>
      </cdr:nvSpPr>
      <cdr:spPr>
        <a:xfrm xmlns:a="http://schemas.openxmlformats.org/drawingml/2006/main">
          <a:off x="4981574" y="0"/>
          <a:ext cx="314325" cy="276225"/>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pPr algn="ctr"/>
          <a:r>
            <a:rPr lang="id-ID" sz="1100"/>
            <a:t>L</a:t>
          </a:r>
          <a:r>
            <a:rPr lang="id-ID" sz="1100" baseline="-25000"/>
            <a:t>2</a:t>
          </a:r>
          <a:endParaRPr lang="en-US" sz="1100" baseline="-25000"/>
        </a:p>
      </cdr:txBody>
    </cdr:sp>
  </cdr:relSizeAnchor>
  <cdr:relSizeAnchor xmlns:cdr="http://schemas.openxmlformats.org/drawingml/2006/chartDrawing">
    <cdr:from>
      <cdr:x>0.02235</cdr:x>
      <cdr:y>0.61351</cdr:y>
    </cdr:from>
    <cdr:to>
      <cdr:x>0.07153</cdr:x>
      <cdr:y>0.68185</cdr:y>
    </cdr:to>
    <cdr:sp macro="" textlink="">
      <cdr:nvSpPr>
        <cdr:cNvPr id="30" name="TextBox 29"/>
        <cdr:cNvSpPr txBox="1"/>
      </cdr:nvSpPr>
      <cdr:spPr>
        <a:xfrm xmlns:a="http://schemas.openxmlformats.org/drawingml/2006/main">
          <a:off x="142874" y="2479674"/>
          <a:ext cx="314325" cy="276225"/>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pPr algn="ctr"/>
          <a:r>
            <a:rPr lang="id-ID" sz="1100"/>
            <a:t>K</a:t>
          </a:r>
          <a:r>
            <a:rPr lang="id-ID" sz="1100" baseline="-25000"/>
            <a:t>1</a:t>
          </a:r>
          <a:endParaRPr lang="en-US" sz="1100" baseline="-25000"/>
        </a:p>
      </cdr:txBody>
    </cdr:sp>
  </cdr:relSizeAnchor>
  <cdr:relSizeAnchor xmlns:cdr="http://schemas.openxmlformats.org/drawingml/2006/chartDrawing">
    <cdr:from>
      <cdr:x>0.93294</cdr:x>
      <cdr:y>0.19874</cdr:y>
    </cdr:from>
    <cdr:to>
      <cdr:x>0.98212</cdr:x>
      <cdr:y>0.26709</cdr:y>
    </cdr:to>
    <cdr:sp macro="" textlink="">
      <cdr:nvSpPr>
        <cdr:cNvPr id="31" name="TextBox 30"/>
        <cdr:cNvSpPr txBox="1"/>
      </cdr:nvSpPr>
      <cdr:spPr>
        <a:xfrm xmlns:a="http://schemas.openxmlformats.org/drawingml/2006/main">
          <a:off x="5962649" y="803274"/>
          <a:ext cx="314325" cy="276225"/>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pPr algn="ctr"/>
          <a:r>
            <a:rPr lang="id-ID" sz="1100"/>
            <a:t>K</a:t>
          </a:r>
          <a:r>
            <a:rPr lang="id-ID" sz="1100" baseline="-25000"/>
            <a:t>2</a:t>
          </a:r>
          <a:endParaRPr lang="en-US" sz="1100" baseline="-25000"/>
        </a:p>
      </cdr:txBody>
    </cdr:sp>
  </cdr:relSizeAnchor>
</c:userShapes>
</file>

<file path=xl/drawings/drawing4.xml><?xml version="1.0" encoding="utf-8"?>
<c:userShapes xmlns:c="http://schemas.openxmlformats.org/drawingml/2006/chart">
  <cdr:relSizeAnchor xmlns:cdr="http://schemas.openxmlformats.org/drawingml/2006/chartDrawing">
    <cdr:from>
      <cdr:x>0.43833</cdr:x>
      <cdr:y>0.92169</cdr:y>
    </cdr:from>
    <cdr:to>
      <cdr:x>0.70295</cdr:x>
      <cdr:y>0.98198</cdr:y>
    </cdr:to>
    <cdr:sp macro="" textlink="">
      <cdr:nvSpPr>
        <cdr:cNvPr id="3" name="TextBox 4"/>
        <cdr:cNvSpPr txBox="1"/>
      </cdr:nvSpPr>
      <cdr:spPr>
        <a:xfrm xmlns:a="http://schemas.openxmlformats.org/drawingml/2006/main">
          <a:off x="2262926" y="4222750"/>
          <a:ext cx="1366099" cy="276225"/>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id-ID" sz="1100"/>
            <a:t>Output 1 (X</a:t>
          </a:r>
          <a:r>
            <a:rPr lang="id-ID" sz="1100" baseline="-25000"/>
            <a:t>1</a:t>
          </a:r>
          <a:r>
            <a:rPr lang="id-ID" sz="1100" baseline="0"/>
            <a:t>)</a:t>
          </a:r>
          <a:endParaRPr lang="en-US" sz="1100" baseline="0"/>
        </a:p>
      </cdr:txBody>
    </cdr:sp>
  </cdr:relSizeAnchor>
  <cdr:relSizeAnchor xmlns:cdr="http://schemas.openxmlformats.org/drawingml/2006/chartDrawing">
    <cdr:from>
      <cdr:x>0.05496</cdr:x>
      <cdr:y>0.29686</cdr:y>
    </cdr:from>
    <cdr:to>
      <cdr:x>0.10847</cdr:x>
      <cdr:y>0.59503</cdr:y>
    </cdr:to>
    <cdr:sp macro="" textlink="">
      <cdr:nvSpPr>
        <cdr:cNvPr id="13" name="TextBox 4"/>
        <cdr:cNvSpPr txBox="1"/>
      </cdr:nvSpPr>
      <cdr:spPr>
        <a:xfrm xmlns:a="http://schemas.openxmlformats.org/drawingml/2006/main" rot="16200000">
          <a:off x="-261199" y="1905000"/>
          <a:ext cx="1366099" cy="276225"/>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id-ID" sz="1100"/>
            <a:t>Output 2 (X</a:t>
          </a:r>
          <a:r>
            <a:rPr lang="id-ID" sz="1100" baseline="-25000"/>
            <a:t>2</a:t>
          </a:r>
          <a:r>
            <a:rPr lang="id-ID" sz="1100" baseline="0"/>
            <a:t>)</a:t>
          </a:r>
          <a:endParaRPr lang="en-US" sz="1100" baseline="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O15" sqref="O15"/>
    </sheetView>
  </sheetViews>
  <sheetFormatPr defaultColWidth="9.1796875" defaultRowHeight="14.5" x14ac:dyDescent="0.35"/>
  <cols>
    <col min="1" max="16384" width="9.1796875" style="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V158"/>
  <sheetViews>
    <sheetView topLeftCell="AD2" zoomScale="80" zoomScaleNormal="80" workbookViewId="0">
      <selection activeCell="AE4" sqref="AE4"/>
    </sheetView>
  </sheetViews>
  <sheetFormatPr defaultColWidth="9.1796875" defaultRowHeight="14.5" x14ac:dyDescent="0.35"/>
  <cols>
    <col min="1" max="1" width="0" style="1" hidden="1" customWidth="1"/>
    <col min="2" max="3" width="8.81640625" style="2" hidden="1" customWidth="1"/>
    <col min="4" max="4" width="12.54296875" style="2" hidden="1" customWidth="1"/>
    <col min="5" max="5" width="7.7265625" style="2" hidden="1" customWidth="1"/>
    <col min="6" max="6" width="12.54296875" style="2" hidden="1" customWidth="1"/>
    <col min="7" max="7" width="7.7265625" style="2" hidden="1" customWidth="1"/>
    <col min="8" max="8" width="6.26953125" style="2" hidden="1" customWidth="1"/>
    <col min="9" max="12" width="6.54296875" style="2" hidden="1" customWidth="1"/>
    <col min="13" max="13" width="8.453125" style="2" hidden="1" customWidth="1"/>
    <col min="14" max="16" width="7.7265625" style="2" hidden="1" customWidth="1"/>
    <col min="17" max="29" width="0" style="1" hidden="1" customWidth="1"/>
    <col min="30" max="39" width="9.1796875" style="1"/>
    <col min="40" max="40" width="10" style="1" customWidth="1"/>
    <col min="41" max="47" width="8.1796875" style="4" customWidth="1"/>
    <col min="48" max="50" width="10" style="1" customWidth="1"/>
    <col min="51" max="16384" width="9.1796875" style="1"/>
  </cols>
  <sheetData>
    <row r="1" spans="1:48" x14ac:dyDescent="0.35">
      <c r="A1" s="1" t="s">
        <v>0</v>
      </c>
      <c r="B1" s="2" t="s">
        <v>1</v>
      </c>
      <c r="C1" s="2">
        <f>AO5</f>
        <v>100</v>
      </c>
      <c r="D1" s="2" t="s">
        <v>2</v>
      </c>
      <c r="E1" s="2">
        <f>AP5</f>
        <v>100</v>
      </c>
      <c r="F1" s="2" t="s">
        <v>3</v>
      </c>
      <c r="G1" s="2">
        <f>AS5</f>
        <v>0.1</v>
      </c>
      <c r="H1" s="2" t="s">
        <v>4</v>
      </c>
      <c r="I1" s="2">
        <f>AT5</f>
        <v>0.6</v>
      </c>
      <c r="M1" s="2" t="s">
        <v>5</v>
      </c>
      <c r="N1" s="2">
        <f>AU5</f>
        <v>0.7</v>
      </c>
      <c r="O1" s="2" t="s">
        <v>6</v>
      </c>
      <c r="P1" s="2">
        <f>AQ5</f>
        <v>1</v>
      </c>
      <c r="Q1" s="1" t="s">
        <v>7</v>
      </c>
      <c r="R1" s="1">
        <f>AR5</f>
        <v>1</v>
      </c>
    </row>
    <row r="2" spans="1:48" x14ac:dyDescent="0.35">
      <c r="B2" s="2" t="s">
        <v>8</v>
      </c>
      <c r="C2" s="2">
        <f>AO6</f>
        <v>100</v>
      </c>
      <c r="D2" s="2" t="s">
        <v>9</v>
      </c>
      <c r="E2" s="2">
        <f>AP6</f>
        <v>68</v>
      </c>
      <c r="F2" s="2" t="s">
        <v>10</v>
      </c>
      <c r="G2" s="2">
        <f>AS6</f>
        <v>0.1</v>
      </c>
      <c r="H2" s="2" t="s">
        <v>11</v>
      </c>
      <c r="I2" s="2">
        <f>AT6</f>
        <v>0.6</v>
      </c>
      <c r="M2" s="2" t="s">
        <v>12</v>
      </c>
      <c r="N2" s="2">
        <f>AU6</f>
        <v>0.7</v>
      </c>
      <c r="O2" s="2" t="s">
        <v>13</v>
      </c>
      <c r="P2" s="2">
        <f>AQ6</f>
        <v>1</v>
      </c>
      <c r="Q2" s="1" t="s">
        <v>14</v>
      </c>
      <c r="R2" s="1">
        <f>AR6</f>
        <v>1</v>
      </c>
    </row>
    <row r="4" spans="1:48" x14ac:dyDescent="0.35">
      <c r="B4" s="2" t="s">
        <v>15</v>
      </c>
      <c r="C4" s="2">
        <f>(alpha0*gamma0*SCapital0)/(beta0*(1-gamma0)+alpha0*gamma0)</f>
        <v>27.999999999999996</v>
      </c>
      <c r="D4" s="2" t="s">
        <v>17</v>
      </c>
      <c r="E4" s="2">
        <f>((1-alpha0)*gamma0*SLab0)/((1-beta0)*(1-gamma0)+(1-alpha0)*gamma0)</f>
        <v>84</v>
      </c>
      <c r="F4" s="2" t="s">
        <v>19</v>
      </c>
      <c r="G4" s="2">
        <f>TechA0*(K1e0^alpha0)*(L1e0^(1-alpha0))</f>
        <v>75.260510626624011</v>
      </c>
      <c r="H4" s="2" t="s">
        <v>21</v>
      </c>
      <c r="I4" s="2">
        <f>((1-alpha0)/alpha0)*(K1e0/L1e0)</f>
        <v>3</v>
      </c>
      <c r="N4" s="2" t="s">
        <v>24</v>
      </c>
      <c r="O4" s="2">
        <f>(alpha1*gamma1*SCapital1)/(beta1*(1-gamma1)+alpha1*gamma1)</f>
        <v>27.999999999999996</v>
      </c>
      <c r="P4" s="2" t="s">
        <v>26</v>
      </c>
      <c r="Q4" s="1">
        <f>((1-alpha1)*gamma1*SLab1)/((1-beta1)*(1-gamma1)+(1-alpha1)*gamma1)</f>
        <v>57.120000000000005</v>
      </c>
      <c r="R4" s="1" t="s">
        <v>28</v>
      </c>
      <c r="S4" s="1">
        <f>TechA1*(K1e1^alpha1)*(L1e1^(1-alpha1))</f>
        <v>53.18941110972235</v>
      </c>
      <c r="T4" s="1" t="s">
        <v>22</v>
      </c>
      <c r="U4" s="1">
        <f>((1-alpha1)/alpha1)*(K1e1/L1e1)</f>
        <v>4.4117647058823524</v>
      </c>
      <c r="V4" s="1" t="s">
        <v>42</v>
      </c>
      <c r="W4" s="1">
        <f>(X1e0^gamma0)*(X2e0^(1-gamma0))</f>
        <v>62.002793908816791</v>
      </c>
      <c r="Y4" s="1" t="s">
        <v>50</v>
      </c>
      <c r="Z4" s="1">
        <f>(gamma0/(1-gamma0))*(X2e0/X1e0)</f>
        <v>1.2230863395232019</v>
      </c>
      <c r="AA4" s="1" t="s">
        <v>52</v>
      </c>
      <c r="AB4" s="1">
        <f>X2e0+mrsc0*X1e0</f>
        <v>131.500146361378</v>
      </c>
      <c r="AE4" s="3" t="s">
        <v>55</v>
      </c>
    </row>
    <row r="5" spans="1:48" x14ac:dyDescent="0.35">
      <c r="B5" s="2" t="s">
        <v>16</v>
      </c>
      <c r="C5" s="2">
        <f>SCapital0-K1e0</f>
        <v>72</v>
      </c>
      <c r="D5" s="2" t="s">
        <v>18</v>
      </c>
      <c r="E5" s="2">
        <f>SLab0-L1e0</f>
        <v>16</v>
      </c>
      <c r="F5" s="2" t="s">
        <v>20</v>
      </c>
      <c r="G5" s="2">
        <f>TechB0*(K2e0^beta0)*(L2e0^(1-beta0))</f>
        <v>39.450043908413406</v>
      </c>
      <c r="H5" s="2" t="s">
        <v>23</v>
      </c>
      <c r="I5" s="2">
        <f>K1e0+mrt0*L1e0</f>
        <v>280</v>
      </c>
      <c r="N5" s="2" t="s">
        <v>25</v>
      </c>
      <c r="O5" s="2">
        <f>SCapital1-K1e1</f>
        <v>72</v>
      </c>
      <c r="P5" s="2" t="s">
        <v>27</v>
      </c>
      <c r="Q5" s="1">
        <f>SLab1-L1e1</f>
        <v>10.879999999999995</v>
      </c>
      <c r="R5" s="1" t="s">
        <v>29</v>
      </c>
      <c r="S5" s="1">
        <f>TechB1*(K2e1^beta1)*(L2e1^(1-beta1))</f>
        <v>33.810458171237343</v>
      </c>
      <c r="T5" s="1" t="s">
        <v>30</v>
      </c>
      <c r="U5" s="1">
        <f>K1e1+mrts1*L1e1</f>
        <v>280</v>
      </c>
      <c r="V5" s="1" t="s">
        <v>43</v>
      </c>
      <c r="W5" s="1">
        <f>(X1e1^gamma1)*(X2e1^(1-gamma1))</f>
        <v>46.429386405343571</v>
      </c>
      <c r="Y5" s="1" t="s">
        <v>51</v>
      </c>
      <c r="Z5" s="1">
        <f>(gamma1/(1-gamma1))*(X2e1/X1e1)</f>
        <v>1.4832100491483007</v>
      </c>
      <c r="AA5" s="1" t="s">
        <v>53</v>
      </c>
      <c r="AB5" s="1">
        <f>X2e1+mrsc1*X1e1</f>
        <v>112.7015272374578</v>
      </c>
      <c r="AE5" s="1" t="s">
        <v>56</v>
      </c>
      <c r="AN5" s="1" t="s">
        <v>59</v>
      </c>
      <c r="AO5" s="4">
        <v>100</v>
      </c>
      <c r="AP5" s="4">
        <v>100</v>
      </c>
      <c r="AQ5" s="4">
        <v>1</v>
      </c>
      <c r="AR5" s="4">
        <v>1</v>
      </c>
      <c r="AS5" s="4">
        <f>AS6</f>
        <v>0.1</v>
      </c>
      <c r="AT5" s="4">
        <f>AT6</f>
        <v>0.6</v>
      </c>
      <c r="AU5" s="4">
        <v>0.7</v>
      </c>
    </row>
    <row r="6" spans="1:48" x14ac:dyDescent="0.35">
      <c r="AE6" s="1" t="s">
        <v>57</v>
      </c>
      <c r="AN6" s="1" t="s">
        <v>60</v>
      </c>
      <c r="AO6" s="9">
        <v>100</v>
      </c>
      <c r="AP6" s="9">
        <v>68</v>
      </c>
      <c r="AQ6" s="4">
        <f>AQ7/50</f>
        <v>1</v>
      </c>
      <c r="AR6" s="4">
        <f>AR7/50</f>
        <v>1</v>
      </c>
      <c r="AS6" s="4">
        <f>AS7/100</f>
        <v>0.1</v>
      </c>
      <c r="AT6" s="4">
        <f>AT7/100</f>
        <v>0.6</v>
      </c>
      <c r="AU6" s="4">
        <f>AU7/100</f>
        <v>0.7</v>
      </c>
    </row>
    <row r="7" spans="1:48" x14ac:dyDescent="0.35">
      <c r="A7" s="1" t="s">
        <v>46</v>
      </c>
      <c r="B7" s="2" t="s">
        <v>31</v>
      </c>
      <c r="C7" s="2" t="s">
        <v>32</v>
      </c>
      <c r="D7" s="2" t="s">
        <v>48</v>
      </c>
      <c r="E7" s="2" t="s">
        <v>33</v>
      </c>
      <c r="F7" s="2" t="s">
        <v>34</v>
      </c>
      <c r="G7" s="2" t="s">
        <v>35</v>
      </c>
      <c r="H7" s="2" t="s">
        <v>36</v>
      </c>
      <c r="I7" s="2" t="s">
        <v>37</v>
      </c>
      <c r="J7" s="2" t="s">
        <v>47</v>
      </c>
      <c r="L7" s="2" t="s">
        <v>9</v>
      </c>
      <c r="M7" s="2" t="s">
        <v>38</v>
      </c>
      <c r="N7" s="2" t="s">
        <v>39</v>
      </c>
      <c r="O7" s="2" t="s">
        <v>40</v>
      </c>
      <c r="P7" s="2" t="s">
        <v>41</v>
      </c>
      <c r="Q7" s="2" t="s">
        <v>44</v>
      </c>
      <c r="R7" s="2" t="s">
        <v>45</v>
      </c>
      <c r="S7" s="2" t="s">
        <v>49</v>
      </c>
      <c r="U7" s="2" t="s">
        <v>54</v>
      </c>
      <c r="V7" s="2"/>
      <c r="W7" s="2"/>
      <c r="AE7" s="1" t="s">
        <v>58</v>
      </c>
      <c r="AO7" s="7"/>
      <c r="AP7" s="5"/>
      <c r="AQ7" s="10">
        <v>50</v>
      </c>
      <c r="AR7" s="10">
        <v>50</v>
      </c>
      <c r="AS7" s="10">
        <v>10</v>
      </c>
      <c r="AT7" s="10">
        <v>60</v>
      </c>
      <c r="AU7" s="10">
        <v>70</v>
      </c>
      <c r="AV7" s="8"/>
    </row>
    <row r="8" spans="1:48" x14ac:dyDescent="0.35">
      <c r="A8" s="1">
        <v>0</v>
      </c>
      <c r="B8" s="2">
        <f t="shared" ref="B8:B39" si="0">(alpha0*(1-beta0)*$A8*SCapital0)/(alpha0*(1-beta0)*$A8+beta0*(1-alpha0)*MAX(SLab0-$A8,0))</f>
        <v>0</v>
      </c>
      <c r="C8" s="2">
        <f t="shared" ref="C8:C39" si="1">(alpha1*(1-beta1)*$A8*SCapital1)/(alpha1*(1-beta1)*$A8+beta1*(1-alpha1)*MAX(SLab1-$A8,0))</f>
        <v>0</v>
      </c>
      <c r="H8" s="2">
        <f t="shared" ref="H8:H39" si="2">interc0-mrt0*A8</f>
        <v>280</v>
      </c>
      <c r="I8" s="2">
        <f t="shared" ref="I8:I39" si="3">interc1-mrts1*A8</f>
        <v>280</v>
      </c>
      <c r="J8" s="2">
        <f>SLab0</f>
        <v>100</v>
      </c>
      <c r="K8" s="2">
        <v>0</v>
      </c>
      <c r="M8" s="2">
        <f t="shared" ref="M8:M39" si="4">TechA0*(B8^alpha0)*(A8^(1-alpha0))</f>
        <v>0</v>
      </c>
      <c r="N8" s="2">
        <f t="shared" ref="N8:N39" si="5">TechB0*(MAX(SCapital0-B8,0)^beta0)*(MAX(SLab0-A8,0)^(1-beta0))</f>
        <v>100.00000000000004</v>
      </c>
      <c r="O8" s="2">
        <f t="shared" ref="O8:O39" si="6">TechA1*(C8^alpha1)*(A8^(1-alpha1))</f>
        <v>0</v>
      </c>
      <c r="P8" s="2">
        <f t="shared" ref="P8:P39" si="7">TechB1*(MAX(SCapital1-C8,0)^beta1)*(MAX(SLab1-A8,0)^(1-beta1))</f>
        <v>85.704488060219077</v>
      </c>
      <c r="AU8" s="6" t="s">
        <v>61</v>
      </c>
    </row>
    <row r="9" spans="1:48" x14ac:dyDescent="0.35">
      <c r="A9" s="1">
        <v>1</v>
      </c>
      <c r="B9" s="2">
        <f t="shared" si="0"/>
        <v>7.4766355140186938E-2</v>
      </c>
      <c r="C9" s="2">
        <f t="shared" si="1"/>
        <v>0.11043622308117065</v>
      </c>
      <c r="D9" s="2">
        <f>(X1e0/(TechA0*($A9^(1-alpha0))))^(1/alpha0)</f>
        <v>5.8300409588660204E+18</v>
      </c>
      <c r="E9" s="2">
        <f t="shared" ref="E9:E40" si="8">SCapital0-(X2e0/(TechB0*(MAX(SLab0-$A9,0)^(1-beta0))))^(1/beta0)</f>
        <v>78.6373222922183</v>
      </c>
      <c r="F9" s="2">
        <f t="shared" ref="F9:F40" si="9">(X1e1/(TechA1*($A9^(1-alpha1))))^(1/alpha1)</f>
        <v>1.8123906802056166E+17</v>
      </c>
      <c r="G9" s="2">
        <f t="shared" ref="G9:G40" si="10">SCapital1-(X2e1/(TechB1*((SLab1-$A9)^(1-beta1))))^(1/beta1)</f>
        <v>78.569355856913091</v>
      </c>
      <c r="H9" s="2">
        <f t="shared" si="2"/>
        <v>277</v>
      </c>
      <c r="I9" s="2">
        <f t="shared" si="3"/>
        <v>275.58823529411762</v>
      </c>
      <c r="J9" s="2">
        <f>J8</f>
        <v>100</v>
      </c>
      <c r="K9" s="2">
        <v>100</v>
      </c>
      <c r="M9" s="2">
        <f t="shared" si="4"/>
        <v>0.77156162826173658</v>
      </c>
      <c r="N9" s="2">
        <f t="shared" si="5"/>
        <v>99.554107042045359</v>
      </c>
      <c r="O9" s="2">
        <f t="shared" si="6"/>
        <v>0.80225263929342994</v>
      </c>
      <c r="P9" s="2">
        <f t="shared" si="7"/>
        <v>85.141636019673243</v>
      </c>
      <c r="Q9" s="1">
        <f t="shared" ref="Q9:Q40" si="11">(util0/(M9^gamma0))^(1/(1-gamma0))</f>
        <v>1727850.1835157152</v>
      </c>
      <c r="R9" s="1">
        <f t="shared" ref="R9:R40" si="12">(util1/(O9^gamma1))^(1/(1-gamma1))</f>
        <v>601520.52862429107</v>
      </c>
      <c r="S9" s="1">
        <v>0</v>
      </c>
      <c r="T9" s="1">
        <v>0</v>
      </c>
      <c r="U9" s="1">
        <f>X1e0</f>
        <v>75.260510626624011</v>
      </c>
      <c r="V9" s="1">
        <f>X2e0</f>
        <v>39.450043908413406</v>
      </c>
    </row>
    <row r="10" spans="1:48" x14ac:dyDescent="0.35">
      <c r="A10" s="1">
        <f>IF(A9+1&lt;=SLab0,A9+1,0)</f>
        <v>2</v>
      </c>
      <c r="B10" s="2">
        <f t="shared" si="0"/>
        <v>0.15094339622641512</v>
      </c>
      <c r="C10" s="2">
        <f t="shared" si="1"/>
        <v>0.22396416573348271</v>
      </c>
      <c r="D10" s="2">
        <f t="shared" ref="D10:D40" si="13">(X1e0/(TechA0*($A10^(1-alpha0))))^(1/alpha0)</f>
        <v>1.1386798747785192E+16</v>
      </c>
      <c r="E10" s="2">
        <f t="shared" si="8"/>
        <v>78.492243990069085</v>
      </c>
      <c r="F10" s="2">
        <f t="shared" si="9"/>
        <v>353982554727659.5</v>
      </c>
      <c r="G10" s="2">
        <f t="shared" si="10"/>
        <v>78.353427699381655</v>
      </c>
      <c r="H10" s="2">
        <f t="shared" si="2"/>
        <v>274</v>
      </c>
      <c r="I10" s="2">
        <f t="shared" si="3"/>
        <v>271.1764705882353</v>
      </c>
      <c r="M10" s="2">
        <f t="shared" si="4"/>
        <v>1.5445728896715631</v>
      </c>
      <c r="N10" s="2">
        <f t="shared" si="5"/>
        <v>99.105283869623563</v>
      </c>
      <c r="O10" s="2">
        <f t="shared" si="6"/>
        <v>1.6067372035755729</v>
      </c>
      <c r="P10" s="2">
        <f t="shared" si="7"/>
        <v>84.573308660117746</v>
      </c>
      <c r="Q10" s="1">
        <f t="shared" si="11"/>
        <v>342098.56097511383</v>
      </c>
      <c r="R10" s="1">
        <f t="shared" si="12"/>
        <v>118970.2838926133</v>
      </c>
      <c r="S10" s="1">
        <v>100</v>
      </c>
      <c r="T10" s="1">
        <v>0</v>
      </c>
      <c r="U10" s="1">
        <v>0</v>
      </c>
      <c r="V10" s="1">
        <f>ap1p20</f>
        <v>131.500146361378</v>
      </c>
    </row>
    <row r="11" spans="1:48" x14ac:dyDescent="0.35">
      <c r="A11" s="1">
        <v>3</v>
      </c>
      <c r="B11" s="2">
        <f t="shared" si="0"/>
        <v>0.22857142857142859</v>
      </c>
      <c r="C11" s="2">
        <f t="shared" si="1"/>
        <v>0.34071550255536631</v>
      </c>
      <c r="D11" s="2">
        <f t="shared" si="13"/>
        <v>296196766695423.19</v>
      </c>
      <c r="E11" s="2">
        <f t="shared" si="8"/>
        <v>78.344677189965168</v>
      </c>
      <c r="F11" s="2">
        <f t="shared" si="9"/>
        <v>9207898593738.8262</v>
      </c>
      <c r="G11" s="2">
        <f t="shared" si="10"/>
        <v>78.13197698745887</v>
      </c>
      <c r="H11" s="2">
        <f t="shared" si="2"/>
        <v>271</v>
      </c>
      <c r="I11" s="2">
        <f t="shared" si="3"/>
        <v>266.76470588235293</v>
      </c>
      <c r="J11" s="2">
        <f>SLab1</f>
        <v>68</v>
      </c>
      <c r="K11" s="2">
        <v>0</v>
      </c>
      <c r="M11" s="2">
        <f t="shared" si="4"/>
        <v>2.3190564672868423</v>
      </c>
      <c r="N11" s="2">
        <f t="shared" si="5"/>
        <v>98.65347966535505</v>
      </c>
      <c r="O11" s="2">
        <f t="shared" si="6"/>
        <v>2.4135056436261069</v>
      </c>
      <c r="P11" s="2">
        <f t="shared" si="7"/>
        <v>83.999364723006579</v>
      </c>
      <c r="Q11" s="1">
        <f t="shared" si="11"/>
        <v>132529.05790878923</v>
      </c>
      <c r="R11" s="1">
        <f t="shared" si="12"/>
        <v>46039.479364848761</v>
      </c>
      <c r="U11" s="1">
        <f>ap1p20/mrsc0</f>
        <v>107.51501518089144</v>
      </c>
      <c r="V11" s="1">
        <v>0</v>
      </c>
    </row>
    <row r="12" spans="1:48" x14ac:dyDescent="0.35">
      <c r="A12" s="1">
        <v>4</v>
      </c>
      <c r="B12" s="2">
        <f t="shared" si="0"/>
        <v>0.30769230769230776</v>
      </c>
      <c r="C12" s="2">
        <f t="shared" si="1"/>
        <v>0.46082949308755772</v>
      </c>
      <c r="D12" s="2">
        <f t="shared" si="13"/>
        <v>22239841304267.98</v>
      </c>
      <c r="E12" s="2">
        <f t="shared" si="8"/>
        <v>78.194552886014336</v>
      </c>
      <c r="F12" s="2">
        <f t="shared" si="9"/>
        <v>691372177202.45959</v>
      </c>
      <c r="G12" s="2">
        <f t="shared" si="10"/>
        <v>77.904774206827909</v>
      </c>
      <c r="H12" s="2">
        <f t="shared" si="2"/>
        <v>268</v>
      </c>
      <c r="I12" s="2">
        <f t="shared" si="3"/>
        <v>262.35294117647061</v>
      </c>
      <c r="J12" s="2">
        <f>J11</f>
        <v>68</v>
      </c>
      <c r="K12" s="2">
        <v>100</v>
      </c>
      <c r="M12" s="2">
        <f t="shared" si="4"/>
        <v>3.0950356522444076</v>
      </c>
      <c r="N12" s="2">
        <f t="shared" si="5"/>
        <v>98.198642187884957</v>
      </c>
      <c r="O12" s="2">
        <f t="shared" si="6"/>
        <v>3.2226119916241314</v>
      </c>
      <c r="P12" s="2">
        <f t="shared" si="7"/>
        <v>83.419657032233985</v>
      </c>
      <c r="Q12" s="1">
        <f t="shared" si="11"/>
        <v>67579.919181827921</v>
      </c>
      <c r="R12" s="1">
        <f t="shared" si="12"/>
        <v>23450.805797040746</v>
      </c>
      <c r="S12" s="1">
        <v>0</v>
      </c>
      <c r="T12" s="1">
        <v>100</v>
      </c>
      <c r="U12" s="1">
        <f>X1e1</f>
        <v>53.18941110972235</v>
      </c>
      <c r="V12" s="1">
        <f>X2e1</f>
        <v>33.810458171237343</v>
      </c>
    </row>
    <row r="13" spans="1:48" x14ac:dyDescent="0.35">
      <c r="A13" s="1">
        <v>5</v>
      </c>
      <c r="B13" s="2">
        <f t="shared" si="0"/>
        <v>0.38834951456310679</v>
      </c>
      <c r="C13" s="2">
        <f t="shared" si="1"/>
        <v>0.58445353594389249</v>
      </c>
      <c r="D13" s="2">
        <f t="shared" si="13"/>
        <v>2984980970939.4033</v>
      </c>
      <c r="E13" s="2">
        <f t="shared" si="8"/>
        <v>78.041799413566096</v>
      </c>
      <c r="F13" s="2">
        <f t="shared" si="9"/>
        <v>92794402826.527512</v>
      </c>
      <c r="G13" s="2">
        <f t="shared" si="10"/>
        <v>77.671576520020409</v>
      </c>
      <c r="H13" s="2">
        <f t="shared" si="2"/>
        <v>265</v>
      </c>
      <c r="I13" s="2">
        <f t="shared" si="3"/>
        <v>257.94117647058823</v>
      </c>
      <c r="M13" s="2">
        <f t="shared" si="4"/>
        <v>3.8725343665384724</v>
      </c>
      <c r="N13" s="2">
        <f t="shared" si="5"/>
        <v>97.740717716768046</v>
      </c>
      <c r="O13" s="2">
        <f t="shared" si="6"/>
        <v>4.0341124782324211</v>
      </c>
      <c r="P13" s="2">
        <f t="shared" si="7"/>
        <v>82.83403215001411</v>
      </c>
      <c r="Q13" s="1">
        <f t="shared" si="11"/>
        <v>40060.393506490516</v>
      </c>
      <c r="R13" s="1">
        <f t="shared" si="12"/>
        <v>13885.594353396267</v>
      </c>
      <c r="S13" s="1">
        <v>0</v>
      </c>
      <c r="T13" s="1">
        <v>0</v>
      </c>
      <c r="U13" s="1">
        <v>0</v>
      </c>
      <c r="V13" s="1">
        <f>ap1p21</f>
        <v>112.7015272374578</v>
      </c>
    </row>
    <row r="14" spans="1:48" x14ac:dyDescent="0.35">
      <c r="A14" s="1">
        <v>6</v>
      </c>
      <c r="B14" s="2">
        <f t="shared" si="0"/>
        <v>0.47058823529411764</v>
      </c>
      <c r="C14" s="2">
        <f t="shared" si="1"/>
        <v>0.71174377224199281</v>
      </c>
      <c r="D14" s="2">
        <f t="shared" si="13"/>
        <v>578509309951.99768</v>
      </c>
      <c r="E14" s="2">
        <f t="shared" si="8"/>
        <v>77.886342317448012</v>
      </c>
      <c r="F14" s="2">
        <f t="shared" si="9"/>
        <v>17984176940.896152</v>
      </c>
      <c r="G14" s="2">
        <f t="shared" si="10"/>
        <v>77.432126766247777</v>
      </c>
      <c r="H14" s="2">
        <f t="shared" si="2"/>
        <v>262</v>
      </c>
      <c r="I14" s="2">
        <f t="shared" si="3"/>
        <v>253.52941176470588</v>
      </c>
      <c r="J14" s="2">
        <v>0</v>
      </c>
      <c r="K14" s="2">
        <f>SCapital0</f>
        <v>100</v>
      </c>
      <c r="M14" s="2">
        <f t="shared" si="4"/>
        <v>4.6515771868924531</v>
      </c>
      <c r="N14" s="2">
        <f t="shared" si="5"/>
        <v>97.279650994629009</v>
      </c>
      <c r="O14" s="2">
        <f t="shared" si="6"/>
        <v>4.8480656581674699</v>
      </c>
      <c r="P14" s="2">
        <f t="shared" si="7"/>
        <v>82.242330007063089</v>
      </c>
      <c r="Q14" s="1">
        <f t="shared" si="11"/>
        <v>26119.828706539949</v>
      </c>
      <c r="R14" s="1">
        <f t="shared" si="12"/>
        <v>9043.0860603920646</v>
      </c>
      <c r="U14" s="1">
        <f>ap1p21/mrsc1</f>
        <v>75.984873013889072</v>
      </c>
      <c r="V14" s="1">
        <v>0</v>
      </c>
    </row>
    <row r="15" spans="1:48" x14ac:dyDescent="0.35">
      <c r="A15" s="1">
        <v>7</v>
      </c>
      <c r="B15" s="2">
        <f t="shared" si="0"/>
        <v>0.55445544554455439</v>
      </c>
      <c r="C15" s="2">
        <f t="shared" si="1"/>
        <v>0.84286574352799515</v>
      </c>
      <c r="D15" s="2">
        <f t="shared" si="13"/>
        <v>144473849855.99963</v>
      </c>
      <c r="E15" s="2">
        <f t="shared" si="8"/>
        <v>77.728104212187446</v>
      </c>
      <c r="F15" s="2">
        <f t="shared" si="9"/>
        <v>4491273060.6848011</v>
      </c>
      <c r="G15" s="2">
        <f t="shared" si="10"/>
        <v>77.186152368569594</v>
      </c>
      <c r="H15" s="2">
        <f t="shared" si="2"/>
        <v>259</v>
      </c>
      <c r="I15" s="2">
        <f t="shared" si="3"/>
        <v>249.11764705882354</v>
      </c>
      <c r="J15" s="2">
        <v>100</v>
      </c>
      <c r="K15" s="2">
        <f>K14</f>
        <v>100</v>
      </c>
      <c r="M15" s="2">
        <f t="shared" si="4"/>
        <v>5.4321893697888566</v>
      </c>
      <c r="N15" s="2">
        <f t="shared" si="5"/>
        <v>96.81538516643225</v>
      </c>
      <c r="O15" s="2">
        <f t="shared" si="6"/>
        <v>5.6645325450102488</v>
      </c>
      <c r="P15" s="2">
        <f t="shared" si="7"/>
        <v>81.644383504730143</v>
      </c>
      <c r="Q15" s="1">
        <f t="shared" si="11"/>
        <v>18187.071011867592</v>
      </c>
      <c r="R15" s="1">
        <f t="shared" si="12"/>
        <v>6289.1743707915894</v>
      </c>
    </row>
    <row r="16" spans="1:48" x14ac:dyDescent="0.35">
      <c r="A16" s="1">
        <v>8</v>
      </c>
      <c r="B16" s="2">
        <f t="shared" si="0"/>
        <v>0.64</v>
      </c>
      <c r="C16" s="2">
        <f t="shared" si="1"/>
        <v>0.97799511002444994</v>
      </c>
      <c r="D16" s="2">
        <f t="shared" si="13"/>
        <v>43437190047.398415</v>
      </c>
      <c r="E16" s="2">
        <f t="shared" si="8"/>
        <v>77.567004633639314</v>
      </c>
      <c r="F16" s="2">
        <f t="shared" si="9"/>
        <v>1350336283.5985579</v>
      </c>
      <c r="G16" s="2">
        <f t="shared" si="10"/>
        <v>76.933364138130926</v>
      </c>
      <c r="H16" s="2">
        <f t="shared" si="2"/>
        <v>256</v>
      </c>
      <c r="I16" s="2">
        <f t="shared" si="3"/>
        <v>244.70588235294119</v>
      </c>
      <c r="M16" s="2">
        <f t="shared" si="4"/>
        <v>6.2143968777258687</v>
      </c>
      <c r="N16" s="2">
        <f t="shared" si="5"/>
        <v>96.347861715685156</v>
      </c>
      <c r="O16" s="2">
        <f t="shared" si="6"/>
        <v>6.4835767560924449</v>
      </c>
      <c r="P16" s="2">
        <f t="shared" si="7"/>
        <v>81.040018086469445</v>
      </c>
      <c r="Q16" s="1">
        <f t="shared" si="11"/>
        <v>13287.396632769365</v>
      </c>
      <c r="R16" s="1">
        <f t="shared" si="12"/>
        <v>4589.2559741387086</v>
      </c>
    </row>
    <row r="17" spans="1:18" x14ac:dyDescent="0.35">
      <c r="A17" s="1">
        <v>9</v>
      </c>
      <c r="B17" s="2">
        <f t="shared" si="0"/>
        <v>0.7272727272727274</v>
      </c>
      <c r="C17" s="2">
        <f t="shared" si="1"/>
        <v>1.1173184357541899</v>
      </c>
      <c r="D17" s="2">
        <f t="shared" si="13"/>
        <v>15048354757.680374</v>
      </c>
      <c r="E17" s="2">
        <f t="shared" si="8"/>
        <v>77.402959881391126</v>
      </c>
      <c r="F17" s="2">
        <f t="shared" si="9"/>
        <v>467809713.64826596</v>
      </c>
      <c r="G17" s="2">
        <f t="shared" si="10"/>
        <v>76.673454963870014</v>
      </c>
      <c r="H17" s="2">
        <f t="shared" si="2"/>
        <v>253</v>
      </c>
      <c r="I17" s="2">
        <f t="shared" si="3"/>
        <v>240.29411764705884</v>
      </c>
      <c r="J17" s="2">
        <v>0</v>
      </c>
      <c r="K17" s="2">
        <f>SCapital1</f>
        <v>100</v>
      </c>
      <c r="M17" s="2">
        <f t="shared" si="4"/>
        <v>6.9982264067740427</v>
      </c>
      <c r="N17" s="2">
        <f t="shared" si="5"/>
        <v>95.877020397387909</v>
      </c>
      <c r="O17" s="2">
        <f t="shared" si="6"/>
        <v>7.3052646683826943</v>
      </c>
      <c r="P17" s="2">
        <f t="shared" si="7"/>
        <v>80.429051275756194</v>
      </c>
      <c r="Q17" s="1">
        <f t="shared" si="11"/>
        <v>10070.836812088648</v>
      </c>
      <c r="R17" s="1">
        <f t="shared" si="12"/>
        <v>3473.9688436238007</v>
      </c>
    </row>
    <row r="18" spans="1:18" x14ac:dyDescent="0.35">
      <c r="A18" s="1">
        <v>10</v>
      </c>
      <c r="B18" s="2">
        <f t="shared" si="0"/>
        <v>0.81632653061224503</v>
      </c>
      <c r="C18" s="2">
        <f t="shared" si="1"/>
        <v>1.2610340479192941</v>
      </c>
      <c r="D18" s="2">
        <f t="shared" si="13"/>
        <v>5830040958.8659973</v>
      </c>
      <c r="E18" s="2">
        <f t="shared" si="8"/>
        <v>77.235882851263611</v>
      </c>
      <c r="F18" s="2">
        <f t="shared" si="9"/>
        <v>181239068.0205611</v>
      </c>
      <c r="G18" s="2">
        <f t="shared" si="10"/>
        <v>76.406098374569211</v>
      </c>
      <c r="H18" s="2">
        <f t="shared" si="2"/>
        <v>250</v>
      </c>
      <c r="I18" s="2">
        <f t="shared" si="3"/>
        <v>235.88235294117646</v>
      </c>
      <c r="J18" s="2">
        <v>100</v>
      </c>
      <c r="K18" s="2">
        <f>K17</f>
        <v>100</v>
      </c>
      <c r="M18" s="2">
        <f t="shared" si="4"/>
        <v>7.7837054155117107</v>
      </c>
      <c r="N18" s="2">
        <f t="shared" si="5"/>
        <v>95.402799167524421</v>
      </c>
      <c r="O18" s="2">
        <f t="shared" si="6"/>
        <v>8.1296655863982163</v>
      </c>
      <c r="P18" s="2">
        <f t="shared" si="7"/>
        <v>79.811292177224672</v>
      </c>
      <c r="Q18" s="1">
        <f t="shared" si="11"/>
        <v>7857.2267462345053</v>
      </c>
      <c r="R18" s="1">
        <f t="shared" si="12"/>
        <v>2706.9083874788803</v>
      </c>
    </row>
    <row r="19" spans="1:18" x14ac:dyDescent="0.35">
      <c r="A19" s="1">
        <v>11</v>
      </c>
      <c r="B19" s="2">
        <f t="shared" si="0"/>
        <v>0.90721649484536093</v>
      </c>
      <c r="C19" s="2">
        <f t="shared" si="1"/>
        <v>1.4093529788597055</v>
      </c>
      <c r="D19" s="2">
        <f t="shared" si="13"/>
        <v>2472506485.6691165</v>
      </c>
      <c r="E19" s="2">
        <f t="shared" si="8"/>
        <v>77.065682857166109</v>
      </c>
      <c r="F19" s="2">
        <f t="shared" si="9"/>
        <v>76863057.103568971</v>
      </c>
      <c r="G19" s="2">
        <f t="shared" si="10"/>
        <v>76.130946958360923</v>
      </c>
      <c r="H19" s="2">
        <f t="shared" si="2"/>
        <v>247</v>
      </c>
      <c r="I19" s="2">
        <f t="shared" si="3"/>
        <v>231.47058823529412</v>
      </c>
      <c r="M19" s="2">
        <f t="shared" si="4"/>
        <v>8.570862155423411</v>
      </c>
      <c r="N19" s="2">
        <f t="shared" si="5"/>
        <v>94.925134108879419</v>
      </c>
      <c r="O19" s="2">
        <f t="shared" si="6"/>
        <v>8.9568519232810981</v>
      </c>
      <c r="P19" s="2">
        <f t="shared" si="7"/>
        <v>79.186540937439119</v>
      </c>
      <c r="Q19" s="1">
        <f t="shared" si="11"/>
        <v>6275.4808401716273</v>
      </c>
      <c r="R19" s="1">
        <f t="shared" si="12"/>
        <v>2159.138793117892</v>
      </c>
    </row>
    <row r="20" spans="1:18" x14ac:dyDescent="0.35">
      <c r="A20" s="1">
        <v>12</v>
      </c>
      <c r="B20" s="2">
        <f t="shared" si="0"/>
        <v>1.0000000000000002</v>
      </c>
      <c r="C20" s="2">
        <f t="shared" si="1"/>
        <v>1.5625</v>
      </c>
      <c r="D20" s="2">
        <f t="shared" si="13"/>
        <v>1129900995.9999976</v>
      </c>
      <c r="E20" s="2">
        <f t="shared" si="8"/>
        <v>76.892265441502147</v>
      </c>
      <c r="F20" s="2">
        <f t="shared" si="9"/>
        <v>35125345.587687828</v>
      </c>
      <c r="G20" s="2">
        <f t="shared" si="10"/>
        <v>75.847630622768207</v>
      </c>
      <c r="H20" s="2">
        <f t="shared" si="2"/>
        <v>244</v>
      </c>
      <c r="I20" s="2">
        <f t="shared" si="3"/>
        <v>227.05882352941177</v>
      </c>
      <c r="M20" s="2">
        <f t="shared" si="4"/>
        <v>9.359725702851641</v>
      </c>
      <c r="N20" s="2">
        <f t="shared" si="5"/>
        <v>94.443959352946862</v>
      </c>
      <c r="O20" s="2">
        <f t="shared" si="6"/>
        <v>9.7868993963068291</v>
      </c>
      <c r="P20" s="2">
        <f t="shared" si="7"/>
        <v>78.554588161289374</v>
      </c>
      <c r="Q20" s="1">
        <f t="shared" si="11"/>
        <v>5110.031558596409</v>
      </c>
      <c r="R20" s="1">
        <f t="shared" si="12"/>
        <v>1755.7844212546609</v>
      </c>
    </row>
    <row r="21" spans="1:18" x14ac:dyDescent="0.35">
      <c r="A21" s="1">
        <v>13</v>
      </c>
      <c r="B21" s="2">
        <f t="shared" si="0"/>
        <v>1.0947368421052632</v>
      </c>
      <c r="C21" s="2">
        <f t="shared" si="1"/>
        <v>1.7207147584381208</v>
      </c>
      <c r="D21" s="2">
        <f t="shared" si="13"/>
        <v>549770503.42516029</v>
      </c>
      <c r="E21" s="2">
        <f t="shared" si="8"/>
        <v>76.71553217324913</v>
      </c>
      <c r="F21" s="2">
        <f t="shared" si="9"/>
        <v>17090770.779996645</v>
      </c>
      <c r="G21" s="2">
        <f t="shared" si="10"/>
        <v>75.55575467600805</v>
      </c>
      <c r="H21" s="2">
        <f t="shared" si="2"/>
        <v>241</v>
      </c>
      <c r="I21" s="2">
        <f t="shared" si="3"/>
        <v>222.64705882352942</v>
      </c>
      <c r="M21" s="2">
        <f t="shared" si="4"/>
        <v>10.150325992598873</v>
      </c>
      <c r="N21" s="2">
        <f t="shared" si="5"/>
        <v>93.95920699767872</v>
      </c>
      <c r="O21" s="2">
        <f t="shared" si="6"/>
        <v>10.619887238238057</v>
      </c>
      <c r="P21" s="2">
        <f t="shared" si="7"/>
        <v>77.915214279533188</v>
      </c>
      <c r="Q21" s="1">
        <f t="shared" si="11"/>
        <v>4229.1285650321188</v>
      </c>
      <c r="R21" s="1">
        <f t="shared" si="12"/>
        <v>1451.0978591200656</v>
      </c>
    </row>
    <row r="22" spans="1:18" x14ac:dyDescent="0.35">
      <c r="A22" s="1">
        <v>14</v>
      </c>
      <c r="B22" s="2">
        <f t="shared" si="0"/>
        <v>1.1914893617021276</v>
      </c>
      <c r="C22" s="2">
        <f t="shared" si="1"/>
        <v>1.8842530282637955</v>
      </c>
      <c r="D22" s="2">
        <f t="shared" si="13"/>
        <v>282175488.00000048</v>
      </c>
      <c r="E22" s="2">
        <f t="shared" si="8"/>
        <v>76.535380432758686</v>
      </c>
      <c r="F22" s="2">
        <f t="shared" si="9"/>
        <v>8772017.6966500338</v>
      </c>
      <c r="G22" s="2">
        <f t="shared" si="10"/>
        <v>75.254897707557646</v>
      </c>
      <c r="H22" s="2">
        <f t="shared" si="2"/>
        <v>238</v>
      </c>
      <c r="I22" s="2">
        <f t="shared" si="3"/>
        <v>218.23529411764707</v>
      </c>
      <c r="M22" s="2">
        <f t="shared" si="4"/>
        <v>10.942693853283988</v>
      </c>
      <c r="N22" s="2">
        <f t="shared" si="5"/>
        <v>93.470807020804187</v>
      </c>
      <c r="O22" s="2">
        <f t="shared" si="6"/>
        <v>11.455898426101266</v>
      </c>
      <c r="P22" s="2">
        <f t="shared" si="7"/>
        <v>77.268188862466928</v>
      </c>
      <c r="Q22" s="1">
        <f t="shared" si="11"/>
        <v>3548.7953160488091</v>
      </c>
      <c r="R22" s="1">
        <f t="shared" si="12"/>
        <v>1215.9296649007774</v>
      </c>
    </row>
    <row r="23" spans="1:18" x14ac:dyDescent="0.35">
      <c r="A23" s="1">
        <v>15</v>
      </c>
      <c r="B23" s="2">
        <f t="shared" si="0"/>
        <v>1.2903225806451613</v>
      </c>
      <c r="C23" s="2">
        <f t="shared" si="1"/>
        <v>2.0533880903490762</v>
      </c>
      <c r="D23" s="2">
        <f t="shared" si="13"/>
        <v>151652744.54805663</v>
      </c>
      <c r="E23" s="2">
        <f t="shared" si="8"/>
        <v>76.35170318223814</v>
      </c>
      <c r="F23" s="2">
        <f t="shared" si="9"/>
        <v>4714444.079994278</v>
      </c>
      <c r="G23" s="2">
        <f t="shared" si="10"/>
        <v>74.944609242810486</v>
      </c>
      <c r="H23" s="2">
        <f t="shared" si="2"/>
        <v>235</v>
      </c>
      <c r="I23" s="2">
        <f t="shared" si="3"/>
        <v>213.8235294117647</v>
      </c>
      <c r="M23" s="2">
        <f t="shared" si="4"/>
        <v>11.736861044565037</v>
      </c>
      <c r="N23" s="2">
        <f t="shared" si="5"/>
        <v>92.978687188428268</v>
      </c>
      <c r="O23" s="2">
        <f t="shared" si="6"/>
        <v>12.295019929151177</v>
      </c>
      <c r="P23" s="2">
        <f t="shared" si="7"/>
        <v>76.613269874093547</v>
      </c>
      <c r="Q23" s="1">
        <f t="shared" si="11"/>
        <v>3013.5815768492621</v>
      </c>
      <c r="R23" s="1">
        <f t="shared" si="12"/>
        <v>1031.0386070463112</v>
      </c>
    </row>
    <row r="24" spans="1:18" x14ac:dyDescent="0.35">
      <c r="A24" s="1">
        <v>16</v>
      </c>
      <c r="B24" s="2">
        <f t="shared" si="0"/>
        <v>1.3913043478260874</v>
      </c>
      <c r="C24" s="2">
        <f t="shared" si="1"/>
        <v>2.2284122562674096</v>
      </c>
      <c r="D24" s="2">
        <f t="shared" si="13"/>
        <v>84838261.811324969</v>
      </c>
      <c r="E24" s="2">
        <f t="shared" si="8"/>
        <v>76.164388720778632</v>
      </c>
      <c r="F24" s="2">
        <f t="shared" si="9"/>
        <v>2637375.553903427</v>
      </c>
      <c r="G24" s="2">
        <f t="shared" si="10"/>
        <v>74.62440714295046</v>
      </c>
      <c r="H24" s="2">
        <f t="shared" si="2"/>
        <v>232</v>
      </c>
      <c r="I24" s="2">
        <f t="shared" si="3"/>
        <v>209.41176470588238</v>
      </c>
      <c r="M24" s="2">
        <f t="shared" si="4"/>
        <v>12.532860296348504</v>
      </c>
      <c r="N24" s="2">
        <f t="shared" si="5"/>
        <v>92.482772958595376</v>
      </c>
      <c r="O24" s="2">
        <f t="shared" si="6"/>
        <v>13.137342978000436</v>
      </c>
      <c r="P24" s="2">
        <f t="shared" si="7"/>
        <v>75.95020286045731</v>
      </c>
      <c r="Q24" s="1">
        <f t="shared" si="11"/>
        <v>2585.7531882820413</v>
      </c>
      <c r="R24" s="1">
        <f t="shared" si="12"/>
        <v>883.33524315784041</v>
      </c>
    </row>
    <row r="25" spans="1:18" x14ac:dyDescent="0.35">
      <c r="A25" s="1">
        <v>17</v>
      </c>
      <c r="B25" s="2">
        <f t="shared" si="0"/>
        <v>1.4945054945054947</v>
      </c>
      <c r="C25" s="2">
        <f t="shared" si="1"/>
        <v>2.4096385542168677</v>
      </c>
      <c r="D25" s="2">
        <f t="shared" si="13"/>
        <v>49162200.48019404</v>
      </c>
      <c r="E25" s="2">
        <f t="shared" si="8"/>
        <v>75.973320422691742</v>
      </c>
      <c r="F25" s="2">
        <f t="shared" si="9"/>
        <v>1528310.2571209795</v>
      </c>
      <c r="G25" s="2">
        <f t="shared" si="10"/>
        <v>74.293774716844709</v>
      </c>
      <c r="H25" s="2">
        <f t="shared" si="2"/>
        <v>229</v>
      </c>
      <c r="I25" s="2">
        <f t="shared" si="3"/>
        <v>205</v>
      </c>
      <c r="M25" s="2">
        <f t="shared" si="4"/>
        <v>13.330725350114895</v>
      </c>
      <c r="N25" s="2">
        <f t="shared" si="5"/>
        <v>91.982987379481145</v>
      </c>
      <c r="O25" s="2">
        <f t="shared" si="6"/>
        <v>13.982963357135423</v>
      </c>
      <c r="P25" s="2">
        <f t="shared" si="7"/>
        <v>75.278720065012138</v>
      </c>
      <c r="Q25" s="1">
        <f t="shared" si="11"/>
        <v>2238.9550621897019</v>
      </c>
      <c r="R25" s="1">
        <f t="shared" si="12"/>
        <v>763.6803834207476</v>
      </c>
    </row>
    <row r="26" spans="1:18" x14ac:dyDescent="0.35">
      <c r="A26" s="1">
        <v>18</v>
      </c>
      <c r="B26" s="2">
        <f t="shared" si="0"/>
        <v>1.6000000000000003</v>
      </c>
      <c r="C26" s="2">
        <f t="shared" si="1"/>
        <v>2.5974025974025978</v>
      </c>
      <c r="D26" s="2">
        <f t="shared" si="13"/>
        <v>29391317.886094514</v>
      </c>
      <c r="E26" s="2">
        <f t="shared" si="8"/>
        <v>75.778376457799382</v>
      </c>
      <c r="F26" s="2">
        <f t="shared" si="9"/>
        <v>913690.84696927143</v>
      </c>
      <c r="G26" s="2">
        <f t="shared" si="10"/>
        <v>73.952157506682411</v>
      </c>
      <c r="H26" s="2">
        <f t="shared" si="2"/>
        <v>226</v>
      </c>
      <c r="I26" s="2">
        <f t="shared" si="3"/>
        <v>200.58823529411765</v>
      </c>
      <c r="M26" s="2">
        <f t="shared" si="4"/>
        <v>14.130491002499822</v>
      </c>
      <c r="N26" s="2">
        <f t="shared" si="5"/>
        <v>91.479250981845837</v>
      </c>
      <c r="O26" s="2">
        <f t="shared" si="6"/>
        <v>14.831981723316106</v>
      </c>
      <c r="P26" s="2">
        <f t="shared" si="7"/>
        <v>74.598539462970024</v>
      </c>
      <c r="Q26" s="1">
        <f t="shared" si="11"/>
        <v>1954.357196309842</v>
      </c>
      <c r="R26" s="1">
        <f t="shared" si="12"/>
        <v>665.54647906153036</v>
      </c>
    </row>
    <row r="27" spans="1:18" x14ac:dyDescent="0.35">
      <c r="A27" s="1">
        <v>19</v>
      </c>
      <c r="B27" s="2">
        <f t="shared" si="0"/>
        <v>1.7078651685393262</v>
      </c>
      <c r="C27" s="2">
        <f t="shared" si="1"/>
        <v>2.7920646583394566</v>
      </c>
      <c r="D27" s="2">
        <f t="shared" si="13"/>
        <v>18067131.158061247</v>
      </c>
      <c r="E27" s="2">
        <f t="shared" si="8"/>
        <v>75.579429492195615</v>
      </c>
      <c r="F27" s="2">
        <f t="shared" si="9"/>
        <v>561654.7183794016</v>
      </c>
      <c r="G27" s="2">
        <f t="shared" si="10"/>
        <v>73.598959703117885</v>
      </c>
      <c r="H27" s="2">
        <f t="shared" si="2"/>
        <v>223</v>
      </c>
      <c r="I27" s="2">
        <f t="shared" si="3"/>
        <v>196.1764705882353</v>
      </c>
      <c r="M27" s="2">
        <f t="shared" si="4"/>
        <v>14.93219315128132</v>
      </c>
      <c r="N27" s="2">
        <f t="shared" si="5"/>
        <v>90.97148166535608</v>
      </c>
      <c r="O27" s="2">
        <f t="shared" si="6"/>
        <v>15.684503952676616</v>
      </c>
      <c r="P27" s="2">
        <f>TechB1*(MAX(SCapital1-C27,0)^beta1)*(MAX(SLab1-A27,0)^(1-beta1))</f>
        <v>73.909363705518189</v>
      </c>
      <c r="Q27" s="1">
        <f t="shared" si="11"/>
        <v>1718.2346310204027</v>
      </c>
      <c r="R27" s="1">
        <f t="shared" si="12"/>
        <v>584.17725284548237</v>
      </c>
    </row>
    <row r="28" spans="1:18" x14ac:dyDescent="0.35">
      <c r="A28" s="1">
        <v>20</v>
      </c>
      <c r="B28" s="2">
        <f t="shared" si="0"/>
        <v>1.8181818181818186</v>
      </c>
      <c r="C28" s="2">
        <f t="shared" si="1"/>
        <v>2.9940119760479043</v>
      </c>
      <c r="D28" s="2">
        <f t="shared" si="13"/>
        <v>11386798.747785203</v>
      </c>
      <c r="E28" s="2">
        <f t="shared" si="8"/>
        <v>75.376346367855575</v>
      </c>
      <c r="F28" s="2">
        <f t="shared" si="9"/>
        <v>353982.55472765991</v>
      </c>
      <c r="G28" s="2">
        <f t="shared" si="10"/>
        <v>73.233540138634112</v>
      </c>
      <c r="H28" s="2">
        <f t="shared" si="2"/>
        <v>220</v>
      </c>
      <c r="I28" s="2">
        <f t="shared" si="3"/>
        <v>191.76470588235296</v>
      </c>
      <c r="M28" s="2">
        <f t="shared" si="4"/>
        <v>15.735868843935442</v>
      </c>
      <c r="N28" s="2">
        <f t="shared" si="5"/>
        <v>90.459594578347236</v>
      </c>
      <c r="O28" s="2">
        <f t="shared" si="6"/>
        <v>16.540641519708039</v>
      </c>
      <c r="P28" s="2">
        <f t="shared" si="7"/>
        <v>73.210878963572739</v>
      </c>
      <c r="Q28" s="1">
        <f t="shared" si="11"/>
        <v>1520.4045791921103</v>
      </c>
      <c r="R28" s="1">
        <f t="shared" si="12"/>
        <v>516.04510804679364</v>
      </c>
    </row>
    <row r="29" spans="1:18" x14ac:dyDescent="0.35">
      <c r="A29" s="1">
        <v>21</v>
      </c>
      <c r="B29" s="2">
        <f t="shared" si="0"/>
        <v>1.9310344827586208</v>
      </c>
      <c r="C29" s="2">
        <f t="shared" si="1"/>
        <v>3.2036613272311216</v>
      </c>
      <c r="D29" s="2">
        <f t="shared" si="13"/>
        <v>7340031.9999999879</v>
      </c>
      <c r="E29" s="2">
        <f t="shared" si="8"/>
        <v>75.16898775931071</v>
      </c>
      <c r="F29" s="2">
        <f t="shared" si="9"/>
        <v>228180.31096300381</v>
      </c>
      <c r="G29" s="2">
        <f t="shared" si="10"/>
        <v>72.855207799505507</v>
      </c>
      <c r="H29" s="2">
        <f t="shared" si="2"/>
        <v>217</v>
      </c>
      <c r="I29" s="2">
        <f t="shared" si="3"/>
        <v>187.35294117647061</v>
      </c>
      <c r="M29" s="2">
        <f t="shared" si="4"/>
        <v>16.541556328935545</v>
      </c>
      <c r="N29" s="2">
        <f t="shared" si="5"/>
        <v>89.943501990566077</v>
      </c>
      <c r="O29" s="2">
        <f t="shared" si="6"/>
        <v>17.400511911726024</v>
      </c>
      <c r="P29" s="2">
        <f t="shared" si="7"/>
        <v>72.502753659325748</v>
      </c>
      <c r="Q29" s="1">
        <f t="shared" si="11"/>
        <v>1353.191745437902</v>
      </c>
      <c r="R29" s="1">
        <f t="shared" si="12"/>
        <v>458.49199275863049</v>
      </c>
    </row>
    <row r="30" spans="1:18" x14ac:dyDescent="0.35">
      <c r="A30" s="1">
        <v>22</v>
      </c>
      <c r="B30" s="2">
        <f t="shared" si="0"/>
        <v>2.0465116279069768</v>
      </c>
      <c r="C30" s="2">
        <f t="shared" si="1"/>
        <v>3.4214618973561435</v>
      </c>
      <c r="D30" s="2">
        <f t="shared" si="13"/>
        <v>4829114.2298224885</v>
      </c>
      <c r="E30" s="2">
        <f t="shared" si="8"/>
        <v>74.957207805433868</v>
      </c>
      <c r="F30" s="2">
        <f t="shared" si="9"/>
        <v>150123.15840540803</v>
      </c>
      <c r="G30" s="2">
        <f t="shared" si="10"/>
        <v>72.46321678683762</v>
      </c>
      <c r="H30" s="2">
        <f t="shared" si="2"/>
        <v>214</v>
      </c>
      <c r="I30" s="2">
        <f t="shared" si="3"/>
        <v>182.94117647058823</v>
      </c>
      <c r="M30" s="2">
        <f t="shared" si="4"/>
        <v>17.349295109984606</v>
      </c>
      <c r="N30" s="2">
        <f t="shared" si="5"/>
        <v>89.42311315839207</v>
      </c>
      <c r="O30" s="2">
        <f t="shared" si="6"/>
        <v>18.264239082911221</v>
      </c>
      <c r="P30" s="2">
        <f t="shared" si="7"/>
        <v>71.784637072206053</v>
      </c>
      <c r="Q30" s="1">
        <f t="shared" si="11"/>
        <v>1210.7279974805047</v>
      </c>
      <c r="R30" s="1">
        <f t="shared" si="12"/>
        <v>409.48637180051662</v>
      </c>
    </row>
    <row r="31" spans="1:18" x14ac:dyDescent="0.35">
      <c r="A31" s="1">
        <v>23</v>
      </c>
      <c r="B31" s="2">
        <f t="shared" si="0"/>
        <v>2.164705882352941</v>
      </c>
      <c r="C31" s="2">
        <f t="shared" si="1"/>
        <v>3.6478984932593184</v>
      </c>
      <c r="D31" s="2">
        <f t="shared" si="13"/>
        <v>3236838.8774611251</v>
      </c>
      <c r="E31" s="2">
        <f t="shared" si="8"/>
        <v>74.740853714184169</v>
      </c>
      <c r="F31" s="2">
        <f t="shared" si="9"/>
        <v>100623.93482701728</v>
      </c>
      <c r="G31" s="2">
        <f t="shared" si="10"/>
        <v>72.056760645358253</v>
      </c>
      <c r="H31" s="2">
        <f t="shared" si="2"/>
        <v>211</v>
      </c>
      <c r="I31" s="2">
        <f t="shared" si="3"/>
        <v>178.52941176470591</v>
      </c>
      <c r="M31" s="2">
        <f t="shared" si="4"/>
        <v>18.159126003385513</v>
      </c>
      <c r="N31" s="2">
        <f t="shared" si="5"/>
        <v>88.898334181996802</v>
      </c>
      <c r="O31" s="2">
        <f t="shared" si="6"/>
        <v>19.131953952572587</v>
      </c>
      <c r="P31" s="2">
        <f t="shared" si="7"/>
        <v>71.056157803974344</v>
      </c>
      <c r="Q31" s="1">
        <f t="shared" si="11"/>
        <v>1088.4688394455236</v>
      </c>
      <c r="R31" s="1">
        <f t="shared" si="12"/>
        <v>367.45547098239302</v>
      </c>
    </row>
    <row r="32" spans="1:18" x14ac:dyDescent="0.35">
      <c r="A32" s="1">
        <v>24</v>
      </c>
      <c r="B32" s="2">
        <f t="shared" si="0"/>
        <v>2.2857142857142856</v>
      </c>
      <c r="C32" s="2">
        <f t="shared" si="1"/>
        <v>3.883495145631068</v>
      </c>
      <c r="D32" s="2">
        <f t="shared" si="13"/>
        <v>2206837.8828124921</v>
      </c>
      <c r="E32" s="2">
        <f t="shared" si="8"/>
        <v>74.519765337944719</v>
      </c>
      <c r="F32" s="2">
        <f t="shared" si="9"/>
        <v>68604.190600952643</v>
      </c>
      <c r="G32" s="2">
        <f t="shared" si="10"/>
        <v>71.634965964516894</v>
      </c>
      <c r="H32" s="2">
        <f t="shared" si="2"/>
        <v>208</v>
      </c>
      <c r="I32" s="2">
        <f t="shared" si="3"/>
        <v>174.11764705882354</v>
      </c>
      <c r="M32" s="2">
        <f t="shared" si="4"/>
        <v>18.971091198771237</v>
      </c>
      <c r="N32" s="2">
        <f t="shared" si="5"/>
        <v>88.369067853851121</v>
      </c>
      <c r="O32" s="2">
        <f t="shared" si="6"/>
        <v>20.003794952936055</v>
      </c>
      <c r="P32" s="2">
        <f t="shared" si="7"/>
        <v>70.316922085453399</v>
      </c>
      <c r="Q32" s="1">
        <f t="shared" si="11"/>
        <v>982.85353666744413</v>
      </c>
      <c r="R32" s="1">
        <f t="shared" si="12"/>
        <v>331.16738665514288</v>
      </c>
    </row>
    <row r="33" spans="1:18" x14ac:dyDescent="0.35">
      <c r="A33" s="1">
        <v>25</v>
      </c>
      <c r="B33" s="2">
        <f t="shared" si="0"/>
        <v>2.4096385542168681</v>
      </c>
      <c r="C33" s="2">
        <f t="shared" si="1"/>
        <v>4.1288191577208924</v>
      </c>
      <c r="D33" s="2">
        <f t="shared" si="13"/>
        <v>1528310.2571209737</v>
      </c>
      <c r="E33" s="2">
        <f t="shared" si="8"/>
        <v>74.293774716844695</v>
      </c>
      <c r="F33" s="2">
        <f t="shared" si="9"/>
        <v>47510.734247182125</v>
      </c>
      <c r="G33" s="2">
        <f t="shared" si="10"/>
        <v>71.196885139495521</v>
      </c>
      <c r="H33" s="2">
        <f t="shared" si="2"/>
        <v>205</v>
      </c>
      <c r="I33" s="2">
        <f t="shared" si="3"/>
        <v>169.70588235294119</v>
      </c>
      <c r="M33" s="2">
        <f t="shared" si="4"/>
        <v>19.785234323435215</v>
      </c>
      <c r="N33" s="2">
        <f t="shared" si="5"/>
        <v>87.835213497942576</v>
      </c>
      <c r="O33" s="2">
        <f t="shared" si="6"/>
        <v>20.879908632519918</v>
      </c>
      <c r="P33" s="2">
        <f t="shared" si="7"/>
        <v>69.566511904805211</v>
      </c>
      <c r="Q33" s="1">
        <f t="shared" si="11"/>
        <v>891.06230105960833</v>
      </c>
      <c r="R33" s="1">
        <f t="shared" si="12"/>
        <v>299.64688103687439</v>
      </c>
    </row>
    <row r="34" spans="1:18" x14ac:dyDescent="0.35">
      <c r="A34" s="1">
        <v>26</v>
      </c>
      <c r="B34" s="2">
        <f t="shared" si="0"/>
        <v>2.536585365853659</v>
      </c>
      <c r="C34" s="2">
        <f t="shared" si="1"/>
        <v>4.3844856661045544</v>
      </c>
      <c r="D34" s="2">
        <f t="shared" si="13"/>
        <v>1073770.5145022636</v>
      </c>
      <c r="E34" s="2">
        <f t="shared" si="8"/>
        <v>74.062705587188276</v>
      </c>
      <c r="F34" s="2">
        <f t="shared" si="9"/>
        <v>33380.411679680903</v>
      </c>
      <c r="G34" s="2">
        <f t="shared" si="10"/>
        <v>70.741488159295812</v>
      </c>
      <c r="H34" s="2">
        <f t="shared" si="2"/>
        <v>202</v>
      </c>
      <c r="I34" s="2">
        <f t="shared" si="3"/>
        <v>165.29411764705884</v>
      </c>
      <c r="M34" s="2">
        <f t="shared" si="4"/>
        <v>20.601600510522971</v>
      </c>
      <c r="N34" s="2">
        <f t="shared" si="5"/>
        <v>87.296666799006118</v>
      </c>
      <c r="O34" s="2">
        <f t="shared" si="6"/>
        <v>21.760450322044864</v>
      </c>
      <c r="P34" s="2">
        <f t="shared" si="7"/>
        <v>68.804482934223728</v>
      </c>
      <c r="Q34" s="1">
        <f t="shared" si="11"/>
        <v>810.8402314825862</v>
      </c>
      <c r="R34" s="1">
        <f t="shared" si="12"/>
        <v>272.11434097767528</v>
      </c>
    </row>
    <row r="35" spans="1:18" x14ac:dyDescent="0.35">
      <c r="A35" s="1">
        <v>27</v>
      </c>
      <c r="B35" s="2">
        <f t="shared" si="0"/>
        <v>2.6666666666666674</v>
      </c>
      <c r="C35" s="2">
        <f t="shared" si="1"/>
        <v>4.6511627906976756</v>
      </c>
      <c r="D35" s="2">
        <f t="shared" si="13"/>
        <v>764535.62758118124</v>
      </c>
      <c r="E35" s="2">
        <f t="shared" si="8"/>
        <v>73.826372851810433</v>
      </c>
      <c r="F35" s="2">
        <f t="shared" si="9"/>
        <v>23767.195734810073</v>
      </c>
      <c r="G35" s="2">
        <f t="shared" si="10"/>
        <v>70.267653264325787</v>
      </c>
      <c r="H35" s="2">
        <f t="shared" si="2"/>
        <v>199</v>
      </c>
      <c r="I35" s="2">
        <f t="shared" si="3"/>
        <v>160.88235294117649</v>
      </c>
      <c r="M35" s="2">
        <f t="shared" si="4"/>
        <v>21.420236471367968</v>
      </c>
      <c r="N35" s="2">
        <f t="shared" si="5"/>
        <v>86.753319621012125</v>
      </c>
      <c r="O35" s="2">
        <f t="shared" si="6"/>
        <v>22.645584870863853</v>
      </c>
      <c r="P35" s="2">
        <f t="shared" si="7"/>
        <v>68.030362228335875</v>
      </c>
      <c r="Q35" s="1">
        <f t="shared" si="11"/>
        <v>740.36791563854945</v>
      </c>
      <c r="R35" s="1">
        <f t="shared" si="12"/>
        <v>247.94092473584499</v>
      </c>
    </row>
    <row r="36" spans="1:18" x14ac:dyDescent="0.35">
      <c r="A36" s="1">
        <v>28</v>
      </c>
      <c r="B36" s="2">
        <f t="shared" si="0"/>
        <v>2.8000000000000003</v>
      </c>
      <c r="C36" s="2">
        <f t="shared" si="1"/>
        <v>4.9295774647887329</v>
      </c>
      <c r="D36" s="2">
        <f t="shared" si="13"/>
        <v>551123.99999999988</v>
      </c>
      <c r="E36" s="2">
        <f t="shared" si="8"/>
        <v>73.584582008842986</v>
      </c>
      <c r="F36" s="2">
        <f t="shared" si="9"/>
        <v>17132.84706376955</v>
      </c>
      <c r="G36" s="2">
        <f t="shared" si="10"/>
        <v>69.774156285828155</v>
      </c>
      <c r="H36" s="2">
        <f t="shared" si="2"/>
        <v>196</v>
      </c>
      <c r="I36" s="2">
        <f t="shared" si="3"/>
        <v>156.47058823529414</v>
      </c>
      <c r="M36" s="2">
        <f t="shared" si="4"/>
        <v>22.24119057227988</v>
      </c>
      <c r="N36" s="2">
        <f t="shared" si="5"/>
        <v>86.205059814087861</v>
      </c>
      <c r="O36" s="2">
        <f t="shared" si="6"/>
        <v>23.535487463116485</v>
      </c>
      <c r="P36" s="2">
        <f t="shared" si="7"/>
        <v>67.243645663377137</v>
      </c>
      <c r="Q36" s="1">
        <f t="shared" si="11"/>
        <v>678.16513588813666</v>
      </c>
      <c r="R36" s="1">
        <f t="shared" si="12"/>
        <v>226.61519106068937</v>
      </c>
    </row>
    <row r="37" spans="1:18" x14ac:dyDescent="0.35">
      <c r="A37" s="1">
        <v>29</v>
      </c>
      <c r="B37" s="2">
        <f t="shared" si="0"/>
        <v>2.9367088607594942</v>
      </c>
      <c r="C37" s="2">
        <f t="shared" si="1"/>
        <v>5.2205220522052205</v>
      </c>
      <c r="D37" s="2">
        <f t="shared" si="13"/>
        <v>401873.73647191649</v>
      </c>
      <c r="E37" s="2">
        <f t="shared" si="8"/>
        <v>73.337128534994093</v>
      </c>
      <c r="F37" s="2">
        <f t="shared" si="9"/>
        <v>12493.089152203456</v>
      </c>
      <c r="G37" s="2">
        <f t="shared" si="10"/>
        <v>69.259658442754073</v>
      </c>
      <c r="H37" s="2">
        <f t="shared" si="2"/>
        <v>193</v>
      </c>
      <c r="I37" s="2">
        <f t="shared" si="3"/>
        <v>152.05882352941177</v>
      </c>
      <c r="M37" s="2">
        <f t="shared" si="4"/>
        <v>23.064512916119888</v>
      </c>
      <c r="N37" s="2">
        <f t="shared" si="5"/>
        <v>85.651771008970115</v>
      </c>
      <c r="O37" s="2">
        <f t="shared" si="6"/>
        <v>24.430344524248586</v>
      </c>
      <c r="P37" s="2">
        <f t="shared" si="7"/>
        <v>66.443795081205508</v>
      </c>
      <c r="Q37" s="1">
        <f t="shared" si="11"/>
        <v>623.01838334725971</v>
      </c>
      <c r="R37" s="1">
        <f t="shared" si="12"/>
        <v>207.71798470983177</v>
      </c>
    </row>
    <row r="38" spans="1:18" x14ac:dyDescent="0.35">
      <c r="A38" s="1">
        <v>30</v>
      </c>
      <c r="B38" s="2">
        <f t="shared" si="0"/>
        <v>3.0769230769230766</v>
      </c>
      <c r="C38" s="2">
        <f t="shared" si="1"/>
        <v>5.5248618784530388</v>
      </c>
      <c r="D38" s="2">
        <f t="shared" si="13"/>
        <v>296196.76669542264</v>
      </c>
      <c r="E38" s="2">
        <f t="shared" si="8"/>
        <v>73.08379721901963</v>
      </c>
      <c r="F38" s="2">
        <f t="shared" si="9"/>
        <v>9207.8985937388115</v>
      </c>
      <c r="G38" s="2">
        <f t="shared" si="10"/>
        <v>68.72269232660436</v>
      </c>
      <c r="H38" s="2">
        <f t="shared" si="2"/>
        <v>190</v>
      </c>
      <c r="I38" s="2">
        <f t="shared" si="3"/>
        <v>147.64705882352942</v>
      </c>
      <c r="M38" s="2">
        <f t="shared" si="4"/>
        <v>23.890255429028002</v>
      </c>
      <c r="N38" s="2">
        <f t="shared" si="5"/>
        <v>85.093332398009323</v>
      </c>
      <c r="O38" s="2">
        <f t="shared" si="6"/>
        <v>25.33035473023736</v>
      </c>
      <c r="P38" s="2">
        <f t="shared" si="7"/>
        <v>65.630235096261273</v>
      </c>
      <c r="Q38" s="1">
        <f t="shared" si="11"/>
        <v>573.92571192360049</v>
      </c>
      <c r="R38" s="1">
        <f t="shared" si="12"/>
        <v>190.90333407179017</v>
      </c>
    </row>
    <row r="39" spans="1:18" x14ac:dyDescent="0.35">
      <c r="A39" s="1">
        <v>31</v>
      </c>
      <c r="B39" s="2">
        <f t="shared" si="0"/>
        <v>3.220779220779221</v>
      </c>
      <c r="C39" s="2">
        <f t="shared" si="1"/>
        <v>5.843543826578701</v>
      </c>
      <c r="D39" s="2">
        <f t="shared" si="13"/>
        <v>220503.94379456065</v>
      </c>
      <c r="E39" s="2">
        <f t="shared" si="8"/>
        <v>72.824361440585349</v>
      </c>
      <c r="F39" s="2">
        <f t="shared" si="9"/>
        <v>6854.82821649982</v>
      </c>
      <c r="G39" s="2">
        <f t="shared" si="10"/>
        <v>68.161645749163569</v>
      </c>
      <c r="H39" s="2">
        <f t="shared" si="2"/>
        <v>187</v>
      </c>
      <c r="I39" s="2">
        <f t="shared" si="3"/>
        <v>143.23529411764707</v>
      </c>
      <c r="M39" s="2">
        <f t="shared" si="4"/>
        <v>24.718471952700337</v>
      </c>
      <c r="N39" s="2">
        <f t="shared" si="5"/>
        <v>84.529618501649395</v>
      </c>
      <c r="O39" s="2">
        <f t="shared" si="6"/>
        <v>26.235730133879475</v>
      </c>
      <c r="P39" s="2">
        <f t="shared" si="7"/>
        <v>64.802349516479481</v>
      </c>
      <c r="Q39" s="1">
        <f t="shared" si="11"/>
        <v>530.05436945347003</v>
      </c>
      <c r="R39" s="1">
        <f t="shared" si="12"/>
        <v>175.88377798838744</v>
      </c>
    </row>
    <row r="40" spans="1:18" x14ac:dyDescent="0.35">
      <c r="A40" s="1">
        <v>32</v>
      </c>
      <c r="B40" s="2">
        <f t="shared" ref="B40:B71" si="14">(alpha0*(1-beta0)*$A40*SCapital0)/(alpha0*(1-beta0)*$A40+beta0*(1-alpha0)*MAX(SLab0-$A40,0))</f>
        <v>3.3684210526315796</v>
      </c>
      <c r="C40" s="2">
        <f t="shared" ref="C40:C71" si="15">(alpha1*(1-beta1)*$A40*SCapital1)/(alpha1*(1-beta1)*$A40+beta1*(1-alpha1)*MAX(SLab1-$A40,0))</f>
        <v>6.1776061776061786</v>
      </c>
      <c r="D40" s="2">
        <f t="shared" si="13"/>
        <v>165699.73010024423</v>
      </c>
      <c r="E40" s="2">
        <f t="shared" si="8"/>
        <v>72.55858238917898</v>
      </c>
      <c r="F40" s="2">
        <f t="shared" si="9"/>
        <v>5151.1241287176344</v>
      </c>
      <c r="G40" s="2">
        <f t="shared" si="10"/>
        <v>67.574743059131421</v>
      </c>
      <c r="H40" s="2">
        <f t="shared" ref="H40:H71" si="16">interc0-mrt0*A40</f>
        <v>184</v>
      </c>
      <c r="I40" s="2">
        <f t="shared" ref="I40:I71" si="17">interc1-mrts1*A40</f>
        <v>138.82352941176472</v>
      </c>
      <c r="M40" s="2">
        <f t="shared" ref="M40:M71" si="18">TechA0*(B40^alpha0)*(A40^(1-alpha0))</f>
        <v>25.549218342650196</v>
      </c>
      <c r="N40" s="2">
        <f t="shared" ref="N40:N71" si="19">TechB0*(MAX(SCapital0-B40,0)^beta0)*(MAX(SLab0-A40,0)^(1-beta0))</f>
        <v>83.960498919207538</v>
      </c>
      <c r="O40" s="2">
        <f t="shared" ref="O40:O71" si="20">TechA1*(C40^alpha1)*(A40^(1-alpha1))</f>
        <v>27.146697424902147</v>
      </c>
      <c r="P40" s="2">
        <f t="shared" ref="P40:P71" si="21">TechB1*(MAX(SCapital1-C40,0)^beta1)*(MAX(SLab1-A40,0)^(1-beta1))</f>
        <v>63.959477320641611</v>
      </c>
      <c r="Q40" s="1">
        <f t="shared" si="11"/>
        <v>490.70794627875057</v>
      </c>
      <c r="R40" s="1">
        <f t="shared" si="12"/>
        <v>162.41899115249205</v>
      </c>
    </row>
    <row r="41" spans="1:18" x14ac:dyDescent="0.35">
      <c r="A41" s="1">
        <v>33</v>
      </c>
      <c r="B41" s="2">
        <f t="shared" si="14"/>
        <v>3.5200000000000009</v>
      </c>
      <c r="C41" s="2">
        <f t="shared" si="15"/>
        <v>6.5281899109792292</v>
      </c>
      <c r="D41" s="2">
        <f t="shared" ref="D41:D72" si="22">(X1e0/(TechA0*($A41^(1-alpha0))))^(1/alpha0)</f>
        <v>125616.34332515972</v>
      </c>
      <c r="E41" s="2">
        <f t="shared" ref="E41:E72" si="23">SCapital0-(X2e0/(TechB0*(MAX(SLab0-$A41,0)^(1-beta0))))^(1/beta0)</f>
        <v>72.286208217121342</v>
      </c>
      <c r="F41" s="2">
        <f t="shared" ref="F41:F72" si="24">(X1e1/(TechA1*($A41^(1-alpha1))))^(1/alpha1)</f>
        <v>3905.0478638199916</v>
      </c>
      <c r="G41" s="2">
        <f t="shared" ref="G41:G72" si="25">SCapital1-(X2e1/(TechB1*((SLab1-$A41)^(1-beta1))))^(1/beta1)</f>
        <v>66.960023447746238</v>
      </c>
      <c r="H41" s="2">
        <f t="shared" si="16"/>
        <v>181</v>
      </c>
      <c r="I41" s="2">
        <f t="shared" si="17"/>
        <v>134.41176470588238</v>
      </c>
      <c r="M41" s="2">
        <f t="shared" si="18"/>
        <v>26.38255257292775</v>
      </c>
      <c r="N41" s="2">
        <f t="shared" si="19"/>
        <v>83.385838062666537</v>
      </c>
      <c r="O41" s="2">
        <f t="shared" si="20"/>
        <v>28.063499343532747</v>
      </c>
      <c r="P41" s="2">
        <f t="shared" si="21"/>
        <v>63.100908124408456</v>
      </c>
      <c r="Q41" s="1">
        <f t="shared" ref="Q41:Q72" si="26">(util0/(M41^gamma0))^(1/(1-gamma0))</f>
        <v>455.30068503944869</v>
      </c>
      <c r="R41" s="1">
        <f t="shared" ref="R41:R72" si="27">(util1/(O41^gamma1))^(1/(1-gamma1))</f>
        <v>150.30689095459005</v>
      </c>
    </row>
    <row r="42" spans="1:18" x14ac:dyDescent="0.35">
      <c r="A42" s="1">
        <v>34</v>
      </c>
      <c r="B42" s="2">
        <f t="shared" si="14"/>
        <v>3.6756756756756763</v>
      </c>
      <c r="C42" s="2">
        <f t="shared" si="15"/>
        <v>6.8965517241379333</v>
      </c>
      <c r="D42" s="2">
        <f t="shared" si="22"/>
        <v>96019.922812878838</v>
      </c>
      <c r="E42" s="2">
        <f t="shared" si="23"/>
        <v>72.006973120036434</v>
      </c>
      <c r="F42" s="2">
        <f t="shared" si="24"/>
        <v>2984.980970939414</v>
      </c>
      <c r="G42" s="2">
        <f t="shared" si="25"/>
        <v>66.315315655787799</v>
      </c>
      <c r="H42" s="2">
        <f t="shared" si="16"/>
        <v>178</v>
      </c>
      <c r="I42" s="2">
        <f t="shared" si="17"/>
        <v>130.00000000000003</v>
      </c>
      <c r="M42" s="2">
        <f t="shared" si="18"/>
        <v>27.2185348478172</v>
      </c>
      <c r="N42" s="2">
        <f t="shared" si="19"/>
        <v>82.805494872064145</v>
      </c>
      <c r="O42" s="2">
        <f t="shared" si="20"/>
        <v>28.986396270615501</v>
      </c>
      <c r="P42" s="2">
        <f t="shared" si="21"/>
        <v>62.225877054885494</v>
      </c>
      <c r="Q42" s="1">
        <f t="shared" si="26"/>
        <v>423.33722973277992</v>
      </c>
      <c r="R42" s="1">
        <f t="shared" si="27"/>
        <v>139.37662871529966</v>
      </c>
    </row>
    <row r="43" spans="1:18" x14ac:dyDescent="0.35">
      <c r="A43" s="1">
        <v>35</v>
      </c>
      <c r="B43" s="2">
        <f t="shared" si="14"/>
        <v>3.8356164383561651</v>
      </c>
      <c r="C43" s="2">
        <f t="shared" si="15"/>
        <v>7.2840790842872023</v>
      </c>
      <c r="D43" s="2">
        <f t="shared" si="22"/>
        <v>73970.61112627211</v>
      </c>
      <c r="E43" s="2">
        <f t="shared" si="23"/>
        <v>71.720596337359197</v>
      </c>
      <c r="F43" s="2">
        <f t="shared" si="24"/>
        <v>2299.5318070706226</v>
      </c>
      <c r="G43" s="2">
        <f t="shared" si="25"/>
        <v>65.638208358492747</v>
      </c>
      <c r="H43" s="2">
        <f t="shared" si="16"/>
        <v>175</v>
      </c>
      <c r="I43" s="2">
        <f t="shared" si="17"/>
        <v>125.58823529411768</v>
      </c>
      <c r="M43" s="2">
        <f t="shared" si="18"/>
        <v>28.057227721080075</v>
      </c>
      <c r="N43" s="2">
        <f t="shared" si="19"/>
        <v>82.219322510928691</v>
      </c>
      <c r="O43" s="2">
        <f t="shared" si="20"/>
        <v>29.91566802152991</v>
      </c>
      <c r="P43" s="2">
        <f t="shared" si="21"/>
        <v>61.333558938532981</v>
      </c>
      <c r="Q43" s="1">
        <f t="shared" si="26"/>
        <v>394.39654267435907</v>
      </c>
      <c r="R43" s="1">
        <f t="shared" si="27"/>
        <v>129.48302454819293</v>
      </c>
    </row>
    <row r="44" spans="1:18" x14ac:dyDescent="0.35">
      <c r="A44" s="1">
        <v>36</v>
      </c>
      <c r="B44" s="2">
        <f t="shared" si="14"/>
        <v>4.0000000000000009</v>
      </c>
      <c r="C44" s="2">
        <f t="shared" si="15"/>
        <v>7.6923076923076925</v>
      </c>
      <c r="D44" s="2">
        <f t="shared" si="22"/>
        <v>57404.91774627829</v>
      </c>
      <c r="E44" s="2">
        <f t="shared" si="23"/>
        <v>71.426781064572424</v>
      </c>
      <c r="F44" s="2">
        <f t="shared" si="24"/>
        <v>1784.5524354868546</v>
      </c>
      <c r="G44" s="2">
        <f t="shared" si="25"/>
        <v>64.926015332443768</v>
      </c>
      <c r="H44" s="2">
        <f t="shared" si="16"/>
        <v>172</v>
      </c>
      <c r="I44" s="2">
        <f t="shared" si="17"/>
        <v>121.1764705882353</v>
      </c>
      <c r="M44" s="2">
        <f t="shared" si="18"/>
        <v>28.898696223368312</v>
      </c>
      <c r="N44" s="2">
        <f t="shared" si="19"/>
        <v>81.627168040050591</v>
      </c>
      <c r="O44" s="2">
        <f t="shared" si="20"/>
        <v>30.851615876214822</v>
      </c>
      <c r="P44" s="2">
        <f t="shared" si="21"/>
        <v>60.423061688879422</v>
      </c>
      <c r="Q44" s="1">
        <f t="shared" si="26"/>
        <v>368.1190416355247</v>
      </c>
      <c r="R44" s="1">
        <f t="shared" si="27"/>
        <v>120.50211734932928</v>
      </c>
    </row>
    <row r="45" spans="1:18" x14ac:dyDescent="0.35">
      <c r="A45" s="1">
        <v>37</v>
      </c>
      <c r="B45" s="2">
        <f t="shared" si="14"/>
        <v>4.1690140845070429</v>
      </c>
      <c r="C45" s="2">
        <f t="shared" si="15"/>
        <v>8.122941822173436</v>
      </c>
      <c r="D45" s="2">
        <f t="shared" si="22"/>
        <v>44859.671531473847</v>
      </c>
      <c r="E45" s="2">
        <f t="shared" si="23"/>
        <v>71.125213267856552</v>
      </c>
      <c r="F45" s="2">
        <f t="shared" si="24"/>
        <v>1394.5571081638241</v>
      </c>
      <c r="G45" s="2">
        <f t="shared" si="25"/>
        <v>64.175734288056759</v>
      </c>
      <c r="H45" s="2">
        <f t="shared" si="16"/>
        <v>169</v>
      </c>
      <c r="I45" s="2">
        <f t="shared" si="17"/>
        <v>116.76470588235296</v>
      </c>
      <c r="M45" s="2">
        <f t="shared" si="18"/>
        <v>29.743007998491269</v>
      </c>
      <c r="N45" s="2">
        <f t="shared" si="19"/>
        <v>81.028872067709457</v>
      </c>
      <c r="O45" s="2">
        <f t="shared" si="20"/>
        <v>31.794564883749477</v>
      </c>
      <c r="P45" s="2">
        <f t="shared" si="21"/>
        <v>59.493418757995329</v>
      </c>
      <c r="Q45" s="1">
        <f t="shared" si="26"/>
        <v>344.19624430092603</v>
      </c>
      <c r="R45" s="1">
        <f t="shared" si="27"/>
        <v>112.32758286003892</v>
      </c>
    </row>
    <row r="46" spans="1:18" x14ac:dyDescent="0.35">
      <c r="A46" s="1">
        <v>38</v>
      </c>
      <c r="B46" s="2">
        <f t="shared" si="14"/>
        <v>4.3428571428571425</v>
      </c>
      <c r="C46" s="2">
        <f t="shared" si="15"/>
        <v>8.5778781038374721</v>
      </c>
      <c r="D46" s="2">
        <f t="shared" si="22"/>
        <v>35287.36554308841</v>
      </c>
      <c r="E46" s="2">
        <f t="shared" si="23"/>
        <v>70.815560390686443</v>
      </c>
      <c r="F46" s="2">
        <f t="shared" si="24"/>
        <v>1096.9818718347683</v>
      </c>
      <c r="G46" s="2">
        <f t="shared" si="25"/>
        <v>63.383997967501621</v>
      </c>
      <c r="H46" s="2">
        <f t="shared" si="16"/>
        <v>166</v>
      </c>
      <c r="I46" s="2">
        <f t="shared" si="17"/>
        <v>112.35294117647061</v>
      </c>
      <c r="M46" s="2">
        <f t="shared" si="18"/>
        <v>30.590233449290132</v>
      </c>
      <c r="N46" s="2">
        <f t="shared" si="19"/>
        <v>80.424268374281368</v>
      </c>
      <c r="O46" s="2">
        <f t="shared" si="20"/>
        <v>32.744866487468194</v>
      </c>
      <c r="P46" s="2">
        <f t="shared" si="21"/>
        <v>58.543580487944567</v>
      </c>
      <c r="Q46" s="1">
        <f t="shared" si="26"/>
        <v>322.3623793003585</v>
      </c>
      <c r="R46" s="1">
        <f t="shared" si="27"/>
        <v>104.86783242516961</v>
      </c>
    </row>
    <row r="47" spans="1:18" x14ac:dyDescent="0.35">
      <c r="A47" s="1">
        <v>39</v>
      </c>
      <c r="B47" s="2">
        <f t="shared" si="14"/>
        <v>4.5217391304347823</v>
      </c>
      <c r="C47" s="2">
        <f t="shared" si="15"/>
        <v>9.0592334494773539</v>
      </c>
      <c r="D47" s="2">
        <f t="shared" si="22"/>
        <v>27931.235249970145</v>
      </c>
      <c r="E47" s="2">
        <f t="shared" si="23"/>
        <v>70.497469940597426</v>
      </c>
      <c r="F47" s="2">
        <f t="shared" si="24"/>
        <v>868.3011116189964</v>
      </c>
      <c r="G47" s="2">
        <f t="shared" si="25"/>
        <v>62.547015739756937</v>
      </c>
      <c r="H47" s="2">
        <f t="shared" si="16"/>
        <v>163</v>
      </c>
      <c r="I47" s="2">
        <f t="shared" si="17"/>
        <v>107.94117647058826</v>
      </c>
      <c r="M47" s="2">
        <f t="shared" si="18"/>
        <v>31.440445893947565</v>
      </c>
      <c r="N47" s="2">
        <f t="shared" si="19"/>
        <v>79.813183508934472</v>
      </c>
      <c r="O47" s="2">
        <f t="shared" si="20"/>
        <v>33.702901525840879</v>
      </c>
      <c r="P47" s="2">
        <f t="shared" si="21"/>
        <v>57.572404164047285</v>
      </c>
      <c r="Q47" s="1">
        <f t="shared" si="26"/>
        <v>302.38755034452589</v>
      </c>
      <c r="R47" s="1">
        <f t="shared" si="27"/>
        <v>98.04364919157581</v>
      </c>
    </row>
    <row r="48" spans="1:18" x14ac:dyDescent="0.35">
      <c r="A48" s="1">
        <v>40</v>
      </c>
      <c r="B48" s="2">
        <f t="shared" si="14"/>
        <v>4.7058823529411766</v>
      </c>
      <c r="C48" s="2">
        <f t="shared" si="15"/>
        <v>9.5693779904306222</v>
      </c>
      <c r="D48" s="2">
        <f t="shared" si="22"/>
        <v>22239.841304267935</v>
      </c>
      <c r="E48" s="2">
        <f t="shared" si="23"/>
        <v>70.170567942842979</v>
      </c>
      <c r="F48" s="2">
        <f t="shared" si="24"/>
        <v>691.37217720245917</v>
      </c>
      <c r="G48" s="2">
        <f t="shared" si="25"/>
        <v>61.660503443057685</v>
      </c>
      <c r="H48" s="2">
        <f t="shared" si="16"/>
        <v>160</v>
      </c>
      <c r="I48" s="2">
        <f t="shared" si="17"/>
        <v>103.52941176470591</v>
      </c>
      <c r="M48" s="2">
        <f t="shared" si="18"/>
        <v>32.293721733646663</v>
      </c>
      <c r="N48" s="2">
        <f t="shared" si="19"/>
        <v>79.195436355878272</v>
      </c>
      <c r="O48" s="2">
        <f t="shared" si="20"/>
        <v>34.669083675804309</v>
      </c>
      <c r="P48" s="2">
        <f t="shared" si="21"/>
        <v>56.578642528918628</v>
      </c>
      <c r="Q48" s="1">
        <f t="shared" si="26"/>
        <v>284.0721349277207</v>
      </c>
      <c r="R48" s="1">
        <f t="shared" si="27"/>
        <v>91.786251395814134</v>
      </c>
    </row>
    <row r="49" spans="1:18" x14ac:dyDescent="0.35">
      <c r="A49" s="1">
        <v>41</v>
      </c>
      <c r="B49" s="2">
        <f t="shared" si="14"/>
        <v>4.8955223880597023</v>
      </c>
      <c r="C49" s="2">
        <f t="shared" si="15"/>
        <v>10.110974106041924</v>
      </c>
      <c r="D49" s="2">
        <f t="shared" si="22"/>
        <v>17808.071693566086</v>
      </c>
      <c r="E49" s="2">
        <f t="shared" si="23"/>
        <v>69.834457245944009</v>
      </c>
      <c r="F49" s="2">
        <f t="shared" si="24"/>
        <v>553.60131082390069</v>
      </c>
      <c r="G49" s="2">
        <f t="shared" si="25"/>
        <v>60.719598589916309</v>
      </c>
      <c r="H49" s="2">
        <f t="shared" si="16"/>
        <v>157</v>
      </c>
      <c r="I49" s="2">
        <f t="shared" si="17"/>
        <v>99.117647058823565</v>
      </c>
      <c r="M49" s="2">
        <f t="shared" si="18"/>
        <v>33.150140632587174</v>
      </c>
      <c r="N49" s="2">
        <f t="shared" si="19"/>
        <v>78.570837667358774</v>
      </c>
      <c r="O49" s="2">
        <f t="shared" si="20"/>
        <v>35.643863419478997</v>
      </c>
      <c r="P49" s="2">
        <f t="shared" si="21"/>
        <v>55.560930462465492</v>
      </c>
      <c r="Q49" s="1">
        <f t="shared" si="26"/>
        <v>267.24217044728584</v>
      </c>
      <c r="R49" s="1">
        <f t="shared" si="27"/>
        <v>86.035697127621546</v>
      </c>
    </row>
    <row r="50" spans="1:18" x14ac:dyDescent="0.35">
      <c r="A50" s="1">
        <v>42</v>
      </c>
      <c r="B50" s="2">
        <f t="shared" si="14"/>
        <v>5.0909090909090917</v>
      </c>
      <c r="C50" s="2">
        <f t="shared" si="15"/>
        <v>10.68702290076336</v>
      </c>
      <c r="D50" s="2">
        <f t="shared" si="22"/>
        <v>14335.999999999947</v>
      </c>
      <c r="E50" s="2">
        <f t="shared" si="23"/>
        <v>69.488715662154377</v>
      </c>
      <c r="F50" s="2">
        <f t="shared" si="24"/>
        <v>445.6646698496159</v>
      </c>
      <c r="G50" s="2">
        <f t="shared" si="25"/>
        <v>59.718757204402792</v>
      </c>
      <c r="H50" s="2">
        <f t="shared" si="16"/>
        <v>154</v>
      </c>
      <c r="I50" s="2">
        <f t="shared" si="17"/>
        <v>94.705882352941188</v>
      </c>
      <c r="M50" s="2">
        <f t="shared" si="18"/>
        <v>34.009785711473974</v>
      </c>
      <c r="N50" s="2">
        <f t="shared" si="19"/>
        <v>77.939189560285499</v>
      </c>
      <c r="O50" s="2">
        <f t="shared" si="20"/>
        <v>36.627732633049852</v>
      </c>
      <c r="P50" s="2">
        <f t="shared" si="21"/>
        <v>54.517769465111726</v>
      </c>
      <c r="Q50" s="1">
        <f t="shared" si="26"/>
        <v>251.74553468399117</v>
      </c>
      <c r="R50" s="1">
        <f t="shared" si="27"/>
        <v>80.739563696244247</v>
      </c>
    </row>
    <row r="51" spans="1:18" x14ac:dyDescent="0.35">
      <c r="A51" s="1">
        <v>43</v>
      </c>
      <c r="B51" s="2">
        <f t="shared" si="14"/>
        <v>5.292307692307693</v>
      </c>
      <c r="C51" s="2">
        <f t="shared" si="15"/>
        <v>11.300919842312748</v>
      </c>
      <c r="D51" s="2">
        <f t="shared" si="22"/>
        <v>11599.933664760358</v>
      </c>
      <c r="E51" s="2">
        <f t="shared" si="23"/>
        <v>69.132893923589378</v>
      </c>
      <c r="F51" s="2">
        <f t="shared" si="24"/>
        <v>360.60830126833753</v>
      </c>
      <c r="G51" s="2">
        <f t="shared" si="25"/>
        <v>58.651627424605692</v>
      </c>
      <c r="H51" s="2">
        <f t="shared" si="16"/>
        <v>151</v>
      </c>
      <c r="I51" s="2">
        <f t="shared" si="17"/>
        <v>90.29411764705884</v>
      </c>
      <c r="M51" s="2">
        <f t="shared" si="18"/>
        <v>34.872743755711738</v>
      </c>
      <c r="N51" s="2">
        <f t="shared" si="19"/>
        <v>77.30028497302969</v>
      </c>
      <c r="O51" s="2">
        <f t="shared" si="20"/>
        <v>37.621229919076526</v>
      </c>
      <c r="P51" s="2">
        <f t="shared" si="21"/>
        <v>53.447509495174522</v>
      </c>
      <c r="Q51" s="1">
        <f t="shared" si="26"/>
        <v>237.44876887740898</v>
      </c>
      <c r="R51" s="1">
        <f t="shared" si="27"/>
        <v>75.851849026665874</v>
      </c>
    </row>
    <row r="52" spans="1:18" x14ac:dyDescent="0.35">
      <c r="A52" s="1">
        <v>44</v>
      </c>
      <c r="B52" s="2">
        <f t="shared" si="14"/>
        <v>5.5000000000000009</v>
      </c>
      <c r="C52" s="2">
        <f t="shared" si="15"/>
        <v>11.956521739130435</v>
      </c>
      <c r="D52" s="2">
        <f t="shared" si="22"/>
        <v>9431.8637301220861</v>
      </c>
      <c r="E52" s="2">
        <f t="shared" si="23"/>
        <v>68.766513432136065</v>
      </c>
      <c r="F52" s="2">
        <f t="shared" si="24"/>
        <v>293.20929376056353</v>
      </c>
      <c r="G52" s="2">
        <f t="shared" si="25"/>
        <v>57.510893458603199</v>
      </c>
      <c r="H52" s="2">
        <f t="shared" si="16"/>
        <v>148</v>
      </c>
      <c r="I52" s="2">
        <f t="shared" si="17"/>
        <v>85.882352941176492</v>
      </c>
      <c r="M52" s="2">
        <f t="shared" si="18"/>
        <v>35.739105439674354</v>
      </c>
      <c r="N52" s="2">
        <f t="shared" si="19"/>
        <v>76.653907078543952</v>
      </c>
      <c r="O52" s="2">
        <f t="shared" si="20"/>
        <v>38.624946832039178</v>
      </c>
      <c r="P52" s="2">
        <f t="shared" si="21"/>
        <v>52.348327600715912</v>
      </c>
      <c r="Q52" s="1">
        <f t="shared" si="26"/>
        <v>224.23442336485081</v>
      </c>
      <c r="R52" s="1">
        <f t="shared" si="27"/>
        <v>71.332053498787957</v>
      </c>
    </row>
    <row r="53" spans="1:18" x14ac:dyDescent="0.35">
      <c r="A53" s="1">
        <v>45</v>
      </c>
      <c r="B53" s="2">
        <f t="shared" si="14"/>
        <v>5.7142857142857144</v>
      </c>
      <c r="C53" s="2">
        <f t="shared" si="15"/>
        <v>12.658227848101266</v>
      </c>
      <c r="D53" s="2">
        <f t="shared" si="22"/>
        <v>7704.7576359323812</v>
      </c>
      <c r="E53" s="2">
        <f t="shared" si="23"/>
        <v>68.389063778223061</v>
      </c>
      <c r="F53" s="2">
        <f t="shared" si="24"/>
        <v>239.51857338791342</v>
      </c>
      <c r="G53" s="2">
        <f t="shared" si="25"/>
        <v>56.288081359605791</v>
      </c>
      <c r="H53" s="2">
        <f t="shared" si="16"/>
        <v>145</v>
      </c>
      <c r="I53" s="2">
        <f t="shared" si="17"/>
        <v>81.470588235294144</v>
      </c>
      <c r="M53" s="2">
        <f t="shared" si="18"/>
        <v>36.608965568568486</v>
      </c>
      <c r="N53" s="2">
        <f t="shared" si="19"/>
        <v>75.999828649510292</v>
      </c>
      <c r="O53" s="2">
        <f t="shared" si="20"/>
        <v>39.639535183411823</v>
      </c>
      <c r="P53" s="2">
        <f t="shared" si="21"/>
        <v>51.218202643435049</v>
      </c>
      <c r="Q53" s="1">
        <f t="shared" si="26"/>
        <v>211.99883030326629</v>
      </c>
      <c r="R53" s="1">
        <f t="shared" si="27"/>
        <v>67.144409136655</v>
      </c>
    </row>
    <row r="54" spans="1:18" x14ac:dyDescent="0.35">
      <c r="A54" s="1">
        <v>46</v>
      </c>
      <c r="B54" s="2">
        <f t="shared" si="14"/>
        <v>5.935483870967742</v>
      </c>
      <c r="C54" s="2">
        <f t="shared" si="15"/>
        <v>13.411078717201168</v>
      </c>
      <c r="D54" s="2">
        <f t="shared" si="22"/>
        <v>6321.9509325412555</v>
      </c>
      <c r="E54" s="2">
        <f t="shared" si="23"/>
        <v>68</v>
      </c>
      <c r="F54" s="2">
        <f t="shared" si="24"/>
        <v>196.53112270901769</v>
      </c>
      <c r="G54" s="2">
        <f t="shared" si="25"/>
        <v>54.973315132960337</v>
      </c>
      <c r="H54" s="2">
        <f t="shared" si="16"/>
        <v>142</v>
      </c>
      <c r="I54" s="2">
        <f t="shared" si="17"/>
        <v>77.058823529411796</v>
      </c>
      <c r="M54" s="2">
        <f t="shared" si="18"/>
        <v>37.482423339581807</v>
      </c>
      <c r="N54" s="2">
        <f t="shared" si="19"/>
        <v>75.337811370725987</v>
      </c>
      <c r="O54" s="2">
        <f t="shared" si="20"/>
        <v>40.665715659570672</v>
      </c>
      <c r="P54" s="2">
        <f t="shared" si="21"/>
        <v>50.054885226358678</v>
      </c>
      <c r="Q54" s="1">
        <f t="shared" si="26"/>
        <v>200.6502271055227</v>
      </c>
      <c r="R54" s="1">
        <f t="shared" si="27"/>
        <v>63.257229661302162</v>
      </c>
    </row>
    <row r="55" spans="1:18" x14ac:dyDescent="0.35">
      <c r="A55" s="1">
        <v>47</v>
      </c>
      <c r="B55" s="2">
        <f t="shared" si="14"/>
        <v>6.1639344262295088</v>
      </c>
      <c r="C55" s="2">
        <f t="shared" si="15"/>
        <v>14.220877458396371</v>
      </c>
      <c r="D55" s="2">
        <f t="shared" si="22"/>
        <v>5209.4381298566113</v>
      </c>
      <c r="E55" s="2">
        <f t="shared" si="23"/>
        <v>67.598739550373921</v>
      </c>
      <c r="F55" s="2">
        <f t="shared" si="24"/>
        <v>161.946325630898</v>
      </c>
      <c r="G55" s="2">
        <f t="shared" si="25"/>
        <v>53.55500752504215</v>
      </c>
      <c r="H55" s="2">
        <f t="shared" si="16"/>
        <v>139</v>
      </c>
      <c r="I55" s="2">
        <f t="shared" si="17"/>
        <v>72.647058823529449</v>
      </c>
      <c r="M55" s="2">
        <f t="shared" si="18"/>
        <v>38.359582624199014</v>
      </c>
      <c r="N55" s="2">
        <f t="shared" si="19"/>
        <v>74.667605093365438</v>
      </c>
      <c r="O55" s="2">
        <f t="shared" si="20"/>
        <v>41.70428804693158</v>
      </c>
      <c r="P55" s="2">
        <f t="shared" si="21"/>
        <v>48.855861693111692</v>
      </c>
      <c r="Q55" s="1">
        <f t="shared" si="26"/>
        <v>190.10716918917115</v>
      </c>
      <c r="R55" s="1">
        <f t="shared" si="27"/>
        <v>59.642360087274106</v>
      </c>
    </row>
    <row r="56" spans="1:18" x14ac:dyDescent="0.35">
      <c r="A56" s="1">
        <v>48</v>
      </c>
      <c r="B56" s="2">
        <f t="shared" si="14"/>
        <v>6.4</v>
      </c>
      <c r="C56" s="2">
        <f t="shared" si="15"/>
        <v>15.094339622641511</v>
      </c>
      <c r="D56" s="2">
        <f t="shared" si="22"/>
        <v>4310.2302398681522</v>
      </c>
      <c r="E56" s="2">
        <f t="shared" si="23"/>
        <v>67.18465893456451</v>
      </c>
      <c r="F56" s="2">
        <f t="shared" si="24"/>
        <v>133.99255976748569</v>
      </c>
      <c r="G56" s="2">
        <f t="shared" si="25"/>
        <v>52.01946389149721</v>
      </c>
      <c r="H56" s="2">
        <f t="shared" si="16"/>
        <v>136</v>
      </c>
      <c r="I56" s="2">
        <f t="shared" si="17"/>
        <v>68.235294117647072</v>
      </c>
      <c r="M56" s="2">
        <f t="shared" si="18"/>
        <v>39.240552273787536</v>
      </c>
      <c r="N56" s="2">
        <f t="shared" si="19"/>
        <v>73.988947025114541</v>
      </c>
      <c r="O56" s="2">
        <f t="shared" si="20"/>
        <v>42.756143438795547</v>
      </c>
      <c r="P56" s="2">
        <f t="shared" si="21"/>
        <v>47.618310743161203</v>
      </c>
      <c r="Q56" s="1">
        <f t="shared" si="26"/>
        <v>180.29718242275169</v>
      </c>
      <c r="R56" s="1">
        <f t="shared" si="27"/>
        <v>56.274708602860073</v>
      </c>
    </row>
    <row r="57" spans="1:18" x14ac:dyDescent="0.35">
      <c r="A57" s="1">
        <v>49</v>
      </c>
      <c r="B57" s="2">
        <f t="shared" si="14"/>
        <v>6.6440677966101696</v>
      </c>
      <c r="C57" s="2">
        <f t="shared" si="15"/>
        <v>16.039279869067101</v>
      </c>
      <c r="D57" s="2">
        <f t="shared" si="22"/>
        <v>3580.1966812037313</v>
      </c>
      <c r="E57" s="2">
        <f t="shared" si="23"/>
        <v>66.757089975247055</v>
      </c>
      <c r="F57" s="2">
        <f t="shared" si="24"/>
        <v>111.29793330952538</v>
      </c>
      <c r="G57" s="2">
        <f t="shared" si="25"/>
        <v>50.350368896518724</v>
      </c>
      <c r="H57" s="2">
        <f t="shared" si="16"/>
        <v>133</v>
      </c>
      <c r="I57" s="2">
        <f t="shared" si="17"/>
        <v>63.823529411764724</v>
      </c>
      <c r="M57" s="2">
        <f t="shared" si="18"/>
        <v>40.12544645080277</v>
      </c>
      <c r="N57" s="2">
        <f t="shared" si="19"/>
        <v>73.301560849432875</v>
      </c>
      <c r="O57" s="2">
        <f t="shared" si="20"/>
        <v>43.82227890437558</v>
      </c>
      <c r="P57" s="2">
        <f t="shared" si="21"/>
        <v>46.339050774429111</v>
      </c>
      <c r="Q57" s="1">
        <f t="shared" si="26"/>
        <v>171.15561498775114</v>
      </c>
      <c r="R57" s="1">
        <f t="shared" si="27"/>
        <v>53.131846677449879</v>
      </c>
    </row>
    <row r="58" spans="1:18" x14ac:dyDescent="0.35">
      <c r="A58" s="1">
        <v>50</v>
      </c>
      <c r="B58" s="2">
        <f t="shared" si="14"/>
        <v>6.8965517241379333</v>
      </c>
      <c r="C58" s="2">
        <f t="shared" si="15"/>
        <v>17.064846416382256</v>
      </c>
      <c r="D58" s="2">
        <f t="shared" si="22"/>
        <v>2984.9809709394031</v>
      </c>
      <c r="E58" s="2">
        <f t="shared" si="23"/>
        <v>66.315315655787799</v>
      </c>
      <c r="F58" s="2">
        <f t="shared" si="24"/>
        <v>92.794402826527588</v>
      </c>
      <c r="G58" s="2">
        <f t="shared" si="25"/>
        <v>48.528113021726064</v>
      </c>
      <c r="H58" s="2">
        <f t="shared" si="16"/>
        <v>130</v>
      </c>
      <c r="I58" s="2">
        <f t="shared" si="17"/>
        <v>59.411764705882376</v>
      </c>
      <c r="M58" s="2">
        <f t="shared" si="18"/>
        <v>41.014384988245091</v>
      </c>
      <c r="N58" s="2">
        <f t="shared" si="19"/>
        <v>72.605155766362373</v>
      </c>
      <c r="O58" s="2">
        <f t="shared" si="20"/>
        <v>44.903815242214264</v>
      </c>
      <c r="P58" s="2">
        <f t="shared" si="21"/>
        <v>45.01447547859631</v>
      </c>
      <c r="Q58" s="1">
        <f t="shared" si="26"/>
        <v>162.62465580258535</v>
      </c>
      <c r="R58" s="1">
        <f t="shared" si="27"/>
        <v>50.193665874034295</v>
      </c>
    </row>
    <row r="59" spans="1:18" x14ac:dyDescent="0.35">
      <c r="A59" s="1">
        <v>51</v>
      </c>
      <c r="B59" s="2">
        <f t="shared" si="14"/>
        <v>7.1578947368421071</v>
      </c>
      <c r="C59" s="2">
        <f t="shared" si="15"/>
        <v>18.181818181818187</v>
      </c>
      <c r="D59" s="2">
        <f t="shared" si="22"/>
        <v>2497.6985459632251</v>
      </c>
      <c r="E59" s="2">
        <f t="shared" si="23"/>
        <v>65.858565484360298</v>
      </c>
      <c r="F59" s="2">
        <f t="shared" si="24"/>
        <v>77.646205208605593</v>
      </c>
      <c r="G59" s="2">
        <f t="shared" si="25"/>
        <v>46.528896636780807</v>
      </c>
      <c r="H59" s="2">
        <f t="shared" si="16"/>
        <v>127</v>
      </c>
      <c r="I59" s="2">
        <f t="shared" si="17"/>
        <v>55.000000000000028</v>
      </c>
      <c r="M59" s="2">
        <f t="shared" si="18"/>
        <v>41.907493780322248</v>
      </c>
      <c r="N59" s="2">
        <f t="shared" si="19"/>
        <v>71.899425446334661</v>
      </c>
      <c r="O59" s="2">
        <f t="shared" si="20"/>
        <v>46.002018631828001</v>
      </c>
      <c r="P59" s="2">
        <f t="shared" si="21"/>
        <v>43.640474411848253</v>
      </c>
      <c r="Q59" s="1">
        <f t="shared" si="26"/>
        <v>154.65249259645935</v>
      </c>
      <c r="R59" s="1">
        <f t="shared" si="27"/>
        <v>47.442081852128346</v>
      </c>
    </row>
    <row r="60" spans="1:18" x14ac:dyDescent="0.35">
      <c r="A60" s="1">
        <v>52</v>
      </c>
      <c r="B60" s="2">
        <f t="shared" si="14"/>
        <v>7.4285714285714297</v>
      </c>
      <c r="C60" s="2">
        <f t="shared" si="15"/>
        <v>19.402985074626869</v>
      </c>
      <c r="D60" s="2">
        <f t="shared" si="22"/>
        <v>2097.2080361372359</v>
      </c>
      <c r="E60" s="2">
        <f t="shared" si="23"/>
        <v>65.386010312622219</v>
      </c>
      <c r="F60" s="2">
        <f t="shared" si="24"/>
        <v>65.196116561876693</v>
      </c>
      <c r="G60" s="2">
        <f t="shared" si="25"/>
        <v>44.323519842004657</v>
      </c>
      <c r="H60" s="2">
        <f t="shared" si="16"/>
        <v>124</v>
      </c>
      <c r="I60" s="2">
        <f t="shared" si="17"/>
        <v>50.58823529411768</v>
      </c>
      <c r="M60" s="2">
        <f t="shared" si="18"/>
        <v>42.804905207638313</v>
      </c>
      <c r="N60" s="2">
        <f t="shared" si="19"/>
        <v>71.184046887325067</v>
      </c>
      <c r="O60" s="2">
        <f t="shared" si="20"/>
        <v>47.118327259599333</v>
      </c>
      <c r="P60" s="2">
        <f t="shared" si="21"/>
        <v>42.212334150835318</v>
      </c>
      <c r="Q60" s="1">
        <f t="shared" si="26"/>
        <v>147.19258749574061</v>
      </c>
      <c r="R60" s="1">
        <f t="shared" si="27"/>
        <v>44.860777632141186</v>
      </c>
    </row>
    <row r="61" spans="1:18" x14ac:dyDescent="0.35">
      <c r="A61" s="1">
        <v>53</v>
      </c>
      <c r="B61" s="2">
        <f t="shared" si="14"/>
        <v>7.7090909090909099</v>
      </c>
      <c r="C61" s="2">
        <f t="shared" si="15"/>
        <v>20.743639921722114</v>
      </c>
      <c r="D61" s="2">
        <f t="shared" si="22"/>
        <v>1766.8056503653916</v>
      </c>
      <c r="E61" s="2">
        <f t="shared" si="23"/>
        <v>64.896756531852333</v>
      </c>
      <c r="F61" s="2">
        <f t="shared" si="24"/>
        <v>54.924864457207761</v>
      </c>
      <c r="G61" s="2">
        <f t="shared" si="25"/>
        <v>41.87571985474235</v>
      </c>
      <c r="H61" s="2">
        <f t="shared" si="16"/>
        <v>121</v>
      </c>
      <c r="I61" s="2">
        <f t="shared" si="17"/>
        <v>46.176470588235333</v>
      </c>
      <c r="M61" s="2">
        <f t="shared" si="18"/>
        <v>43.706758600650737</v>
      </c>
      <c r="N61" s="2">
        <f t="shared" si="19"/>
        <v>70.458679164430137</v>
      </c>
      <c r="O61" s="2">
        <f t="shared" si="20"/>
        <v>48.254384358311121</v>
      </c>
      <c r="P61" s="2">
        <f t="shared" si="21"/>
        <v>40.72461407899511</v>
      </c>
      <c r="Q61" s="1">
        <f t="shared" si="26"/>
        <v>140.2030518401117</v>
      </c>
      <c r="R61" s="1">
        <f t="shared" si="27"/>
        <v>42.434979434468843</v>
      </c>
    </row>
    <row r="62" spans="1:18" x14ac:dyDescent="0.35">
      <c r="A62" s="1">
        <v>54</v>
      </c>
      <c r="B62" s="2">
        <f t="shared" si="14"/>
        <v>8.0000000000000018</v>
      </c>
      <c r="C62" s="2">
        <f t="shared" si="15"/>
        <v>22.222222222222225</v>
      </c>
      <c r="D62" s="2">
        <f t="shared" si="22"/>
        <v>1493.2336476194951</v>
      </c>
      <c r="E62" s="2">
        <f t="shared" si="23"/>
        <v>64.389839556641277</v>
      </c>
      <c r="F62" s="2">
        <f t="shared" si="24"/>
        <v>46.420304169550846</v>
      </c>
      <c r="G62" s="2">
        <f t="shared" si="25"/>
        <v>39.139842833578612</v>
      </c>
      <c r="H62" s="2">
        <f t="shared" si="16"/>
        <v>118</v>
      </c>
      <c r="I62" s="2">
        <f t="shared" si="17"/>
        <v>41.764705882352985</v>
      </c>
      <c r="M62" s="2">
        <f t="shared" si="18"/>
        <v>44.613200745620148</v>
      </c>
      <c r="N62" s="2">
        <f t="shared" si="19"/>
        <v>69.72296205947832</v>
      </c>
      <c r="O62" s="2">
        <f t="shared" si="20"/>
        <v>49.412079610428393</v>
      </c>
      <c r="P62" s="2">
        <f t="shared" si="21"/>
        <v>39.17098861598474</v>
      </c>
      <c r="Q62" s="1">
        <f t="shared" si="26"/>
        <v>133.64610507104055</v>
      </c>
      <c r="R62" s="1">
        <f t="shared" si="27"/>
        <v>40.151259360377914</v>
      </c>
    </row>
    <row r="63" spans="1:18" x14ac:dyDescent="0.35">
      <c r="A63" s="1">
        <v>55</v>
      </c>
      <c r="B63" s="2">
        <f t="shared" si="14"/>
        <v>8.3018867924528319</v>
      </c>
      <c r="C63" s="2">
        <f t="shared" si="15"/>
        <v>23.861171366594366</v>
      </c>
      <c r="D63" s="2">
        <f t="shared" si="22"/>
        <v>1265.9233206625854</v>
      </c>
      <c r="E63" s="2">
        <f t="shared" si="23"/>
        <v>63.864216490968523</v>
      </c>
      <c r="F63" s="2">
        <f t="shared" si="24"/>
        <v>39.353885237027214</v>
      </c>
      <c r="G63" s="2">
        <f t="shared" si="25"/>
        <v>36.057512811682514</v>
      </c>
      <c r="H63" s="2">
        <f t="shared" si="16"/>
        <v>115</v>
      </c>
      <c r="I63" s="2">
        <f t="shared" si="17"/>
        <v>37.352941176470608</v>
      </c>
      <c r="M63" s="2">
        <f t="shared" si="18"/>
        <v>45.524386437831943</v>
      </c>
      <c r="N63" s="2">
        <f t="shared" si="19"/>
        <v>68.97651455658864</v>
      </c>
      <c r="O63" s="2">
        <f t="shared" si="20"/>
        <v>50.593601594061617</v>
      </c>
      <c r="P63" s="2">
        <f t="shared" si="21"/>
        <v>37.544044465896597</v>
      </c>
      <c r="Q63" s="1">
        <f t="shared" si="26"/>
        <v>127.48760507972605</v>
      </c>
      <c r="R63" s="1">
        <f t="shared" si="27"/>
        <v>37.997359881735768</v>
      </c>
    </row>
    <row r="64" spans="1:18" x14ac:dyDescent="0.35">
      <c r="A64" s="1">
        <v>56</v>
      </c>
      <c r="B64" s="2">
        <f t="shared" si="14"/>
        <v>8.6153846153846168</v>
      </c>
      <c r="C64" s="2">
        <f t="shared" si="15"/>
        <v>25.688073394495415</v>
      </c>
      <c r="D64" s="2">
        <f t="shared" si="22"/>
        <v>1076.4140624999945</v>
      </c>
      <c r="E64" s="2">
        <f t="shared" si="23"/>
        <v>63.318757853238601</v>
      </c>
      <c r="F64" s="2">
        <f t="shared" si="24"/>
        <v>33.462591921424796</v>
      </c>
      <c r="G64" s="2">
        <f t="shared" si="25"/>
        <v>32.552747578997781</v>
      </c>
      <c r="H64" s="2">
        <f t="shared" si="16"/>
        <v>112</v>
      </c>
      <c r="I64" s="2">
        <f t="shared" si="17"/>
        <v>32.94117647058826</v>
      </c>
      <c r="M64" s="2">
        <f t="shared" si="18"/>
        <v>46.440479087509694</v>
      </c>
      <c r="N64" s="2">
        <f t="shared" si="19"/>
        <v>68.218933187626845</v>
      </c>
      <c r="O64" s="2">
        <f t="shared" si="20"/>
        <v>51.801505008164909</v>
      </c>
      <c r="P64" s="2">
        <f t="shared" si="21"/>
        <v>35.835016682205129</v>
      </c>
      <c r="Q64" s="1">
        <f t="shared" si="26"/>
        <v>121.6966394816945</v>
      </c>
      <c r="R64" s="1">
        <f t="shared" si="27"/>
        <v>35.96203556701807</v>
      </c>
    </row>
    <row r="65" spans="1:18" x14ac:dyDescent="0.35">
      <c r="A65" s="1">
        <v>57</v>
      </c>
      <c r="B65" s="2">
        <f t="shared" si="14"/>
        <v>8.9411764705882355</v>
      </c>
      <c r="C65" s="2">
        <f t="shared" si="15"/>
        <v>27.737226277372265</v>
      </c>
      <c r="D65" s="2">
        <f t="shared" si="22"/>
        <v>917.90535782457926</v>
      </c>
      <c r="E65" s="2">
        <f t="shared" si="23"/>
        <v>62.75223821492758</v>
      </c>
      <c r="F65" s="2">
        <f t="shared" si="24"/>
        <v>28.535015921322959</v>
      </c>
      <c r="G65" s="2">
        <f t="shared" si="25"/>
        <v>28.52459307542064</v>
      </c>
      <c r="H65" s="2">
        <f t="shared" si="16"/>
        <v>109</v>
      </c>
      <c r="I65" s="2">
        <f t="shared" si="17"/>
        <v>28.529411764705912</v>
      </c>
      <c r="M65" s="2">
        <f t="shared" si="18"/>
        <v>47.36165138458027</v>
      </c>
      <c r="N65" s="2">
        <f t="shared" si="19"/>
        <v>67.449790209224332</v>
      </c>
      <c r="O65" s="2">
        <f t="shared" si="20"/>
        <v>53.038797976699712</v>
      </c>
      <c r="P65" s="2">
        <f t="shared" si="21"/>
        <v>34.033440157108878</v>
      </c>
      <c r="Q65" s="1">
        <f t="shared" si="26"/>
        <v>116.24516899214704</v>
      </c>
      <c r="R65" s="1">
        <f t="shared" si="27"/>
        <v>34.034907682279893</v>
      </c>
    </row>
    <row r="66" spans="1:18" x14ac:dyDescent="0.35">
      <c r="A66" s="1">
        <v>58</v>
      </c>
      <c r="B66" s="2">
        <f t="shared" si="14"/>
        <v>9.2800000000000011</v>
      </c>
      <c r="C66" s="2">
        <f t="shared" si="15"/>
        <v>30.051813471502591</v>
      </c>
      <c r="D66" s="2">
        <f t="shared" si="22"/>
        <v>784.90964154671462</v>
      </c>
      <c r="E66" s="2">
        <f t="shared" si="23"/>
        <v>62.163325581058942</v>
      </c>
      <c r="F66" s="2">
        <f t="shared" si="24"/>
        <v>24.400564750397439</v>
      </c>
      <c r="G66" s="2">
        <f t="shared" si="25"/>
        <v>23.835646507364501</v>
      </c>
      <c r="H66" s="2">
        <f t="shared" si="16"/>
        <v>106</v>
      </c>
      <c r="I66" s="2">
        <f t="shared" si="17"/>
        <v>24.117647058823565</v>
      </c>
      <c r="M66" s="2">
        <f t="shared" si="18"/>
        <v>48.288086029308644</v>
      </c>
      <c r="N66" s="2">
        <f t="shared" si="19"/>
        <v>66.668631590362097</v>
      </c>
      <c r="O66" s="2">
        <f t="shared" si="20"/>
        <v>54.309057089261053</v>
      </c>
      <c r="P66" s="2">
        <f t="shared" si="21"/>
        <v>32.126682086394844</v>
      </c>
      <c r="Q66" s="1">
        <f t="shared" si="26"/>
        <v>111.10771548200889</v>
      </c>
      <c r="R66" s="1">
        <f t="shared" si="27"/>
        <v>32.206327226341976</v>
      </c>
    </row>
    <row r="67" spans="1:18" x14ac:dyDescent="0.35">
      <c r="A67" s="1">
        <v>59</v>
      </c>
      <c r="B67" s="2">
        <f t="shared" si="14"/>
        <v>9.6326530612244916</v>
      </c>
      <c r="C67" s="2">
        <f t="shared" si="15"/>
        <v>32.686980609418285</v>
      </c>
      <c r="D67" s="2">
        <f t="shared" si="22"/>
        <v>672.9820815925558</v>
      </c>
      <c r="E67" s="2">
        <f t="shared" si="23"/>
        <v>61.550569308733003</v>
      </c>
      <c r="F67" s="2">
        <f t="shared" si="24"/>
        <v>20.921061468167856</v>
      </c>
      <c r="G67" s="2">
        <f t="shared" si="25"/>
        <v>18.29347246389969</v>
      </c>
      <c r="H67" s="2">
        <f t="shared" si="16"/>
        <v>103</v>
      </c>
      <c r="I67" s="2">
        <f t="shared" si="17"/>
        <v>19.705882352941217</v>
      </c>
      <c r="M67" s="2">
        <f t="shared" si="18"/>
        <v>49.219976536818351</v>
      </c>
      <c r="N67" s="2">
        <f t="shared" si="19"/>
        <v>65.874974786410306</v>
      </c>
      <c r="O67" s="2">
        <f t="shared" si="20"/>
        <v>55.616581473008573</v>
      </c>
      <c r="P67" s="2">
        <f t="shared" si="21"/>
        <v>30.099303547548462</v>
      </c>
      <c r="Q67" s="1">
        <f t="shared" si="26"/>
        <v>106.2610884566942</v>
      </c>
      <c r="R67" s="1">
        <f t="shared" si="27"/>
        <v>30.467241498831871</v>
      </c>
    </row>
    <row r="68" spans="1:18" x14ac:dyDescent="0.35">
      <c r="A68" s="1">
        <v>60</v>
      </c>
      <c r="B68" s="2">
        <f t="shared" si="14"/>
        <v>10.000000000000002</v>
      </c>
      <c r="C68" s="2">
        <f t="shared" si="15"/>
        <v>35.714285714285715</v>
      </c>
      <c r="D68" s="2">
        <f t="shared" si="22"/>
        <v>578.50930995199872</v>
      </c>
      <c r="E68" s="2">
        <f t="shared" si="23"/>
        <v>60.91238632103336</v>
      </c>
      <c r="F68" s="2">
        <f t="shared" si="24"/>
        <v>17.984176940896177</v>
      </c>
      <c r="G68" s="2">
        <f t="shared" si="25"/>
        <v>11.619096827311736</v>
      </c>
      <c r="H68" s="2">
        <f t="shared" si="16"/>
        <v>100</v>
      </c>
      <c r="I68" s="2">
        <f t="shared" si="17"/>
        <v>15.29411764705884</v>
      </c>
      <c r="M68" s="2">
        <f t="shared" si="18"/>
        <v>50.157528124676219</v>
      </c>
      <c r="N68" s="2">
        <f t="shared" si="19"/>
        <v>65.068306271861928</v>
      </c>
      <c r="O68" s="2">
        <f t="shared" si="20"/>
        <v>56.966602945335531</v>
      </c>
      <c r="P68" s="2">
        <f t="shared" si="21"/>
        <v>27.932170159848326</v>
      </c>
      <c r="Q68" s="1">
        <f t="shared" si="26"/>
        <v>101.68414466340701</v>
      </c>
      <c r="R68" s="1">
        <f t="shared" si="27"/>
        <v>28.809058285720482</v>
      </c>
    </row>
    <row r="69" spans="1:18" x14ac:dyDescent="0.35">
      <c r="A69" s="1">
        <v>61</v>
      </c>
      <c r="B69" s="2">
        <f t="shared" si="14"/>
        <v>10.382978723404255</v>
      </c>
      <c r="C69" s="2">
        <f t="shared" si="15"/>
        <v>39.228295819935688</v>
      </c>
      <c r="D69" s="2">
        <f t="shared" si="22"/>
        <v>498.5435373035495</v>
      </c>
      <c r="E69" s="2">
        <f t="shared" si="23"/>
        <v>60.247045326124692</v>
      </c>
      <c r="F69" s="2">
        <f t="shared" si="24"/>
        <v>15.498272946292328</v>
      </c>
      <c r="G69" s="2">
        <f t="shared" si="25"/>
        <v>3.3905224910727014</v>
      </c>
      <c r="H69" s="2">
        <f t="shared" si="16"/>
        <v>97</v>
      </c>
      <c r="I69" s="2">
        <f t="shared" si="17"/>
        <v>10.882352941176521</v>
      </c>
      <c r="M69" s="2">
        <f t="shared" si="18"/>
        <v>51.100958694081193</v>
      </c>
      <c r="N69" s="2">
        <f t="shared" si="19"/>
        <v>64.248078799705183</v>
      </c>
      <c r="O69" s="2">
        <f t="shared" si="20"/>
        <v>58.365578662985882</v>
      </c>
      <c r="P69" s="2">
        <f t="shared" si="21"/>
        <v>25.601184832735008</v>
      </c>
      <c r="Q69" s="1">
        <f t="shared" si="26"/>
        <v>97.357576334825254</v>
      </c>
      <c r="R69" s="1">
        <f t="shared" si="27"/>
        <v>27.223499861556242</v>
      </c>
    </row>
    <row r="70" spans="1:18" x14ac:dyDescent="0.35">
      <c r="A70" s="1">
        <v>62</v>
      </c>
      <c r="B70" s="2">
        <f t="shared" si="14"/>
        <v>10.782608695652174</v>
      </c>
      <c r="C70" s="2">
        <f t="shared" si="15"/>
        <v>43.35664335664336</v>
      </c>
      <c r="D70" s="2">
        <f t="shared" si="22"/>
        <v>430.67176522375166</v>
      </c>
      <c r="E70" s="2">
        <f t="shared" si="23"/>
        <v>59.552648693056838</v>
      </c>
      <c r="F70" s="2">
        <f t="shared" si="24"/>
        <v>13.388336360351218</v>
      </c>
      <c r="G70" s="2">
        <f t="shared" si="25"/>
        <v>-7.0658394454635527</v>
      </c>
      <c r="H70" s="2">
        <f t="shared" si="16"/>
        <v>94</v>
      </c>
      <c r="I70" s="2">
        <f t="shared" si="17"/>
        <v>6.4705882352941444</v>
      </c>
      <c r="M70" s="2">
        <f t="shared" si="18"/>
        <v>52.050499916791644</v>
      </c>
      <c r="N70" s="2">
        <f t="shared" si="19"/>
        <v>63.413708350311786</v>
      </c>
      <c r="O70" s="2">
        <f t="shared" si="20"/>
        <v>59.821608426854709</v>
      </c>
      <c r="P70" s="2">
        <f t="shared" si="21"/>
        <v>23.075434588089738</v>
      </c>
      <c r="Q70" s="1">
        <f t="shared" si="26"/>
        <v>93.263724246534082</v>
      </c>
      <c r="R70" s="1">
        <f t="shared" si="27"/>
        <v>25.702435658435697</v>
      </c>
    </row>
    <row r="71" spans="1:18" x14ac:dyDescent="0.35">
      <c r="A71" s="1">
        <v>63</v>
      </c>
      <c r="B71" s="2">
        <f t="shared" si="14"/>
        <v>11.200000000000003</v>
      </c>
      <c r="C71" s="2">
        <f t="shared" si="15"/>
        <v>48.275862068965523</v>
      </c>
      <c r="D71" s="2">
        <f t="shared" si="22"/>
        <v>372.91225931006375</v>
      </c>
      <c r="E71" s="2">
        <f t="shared" si="23"/>
        <v>58.827111563893773</v>
      </c>
      <c r="F71" s="2">
        <f t="shared" si="24"/>
        <v>11.592760806940182</v>
      </c>
      <c r="G71" s="2">
        <f t="shared" si="25"/>
        <v>-20.903374856687449</v>
      </c>
      <c r="H71" s="2">
        <f t="shared" si="16"/>
        <v>91</v>
      </c>
      <c r="I71" s="2">
        <f t="shared" si="17"/>
        <v>2.0588235294118249</v>
      </c>
      <c r="M71" s="2">
        <f t="shared" si="18"/>
        <v>53.006398441805089</v>
      </c>
      <c r="N71" s="2">
        <f t="shared" si="19"/>
        <v>62.56457072671239</v>
      </c>
      <c r="O71" s="2">
        <f t="shared" si="20"/>
        <v>61.34504625849808</v>
      </c>
      <c r="P71" s="2">
        <f t="shared" si="21"/>
        <v>20.314398071328426</v>
      </c>
      <c r="Q71" s="1">
        <f t="shared" si="26"/>
        <v>89.386412326145688</v>
      </c>
      <c r="R71" s="1">
        <f t="shared" si="27"/>
        <v>24.237676504237637</v>
      </c>
    </row>
    <row r="72" spans="1:18" x14ac:dyDescent="0.35">
      <c r="A72" s="1">
        <v>64</v>
      </c>
      <c r="B72" s="2">
        <f t="shared" ref="B72:B103" si="28">(alpha0*(1-beta0)*$A72*SCapital0)/(alpha0*(1-beta0)*$A72+beta0*(1-alpha0)*MAX(SLab0-$A72,0))</f>
        <v>11.636363636363638</v>
      </c>
      <c r="C72" s="2">
        <f t="shared" ref="C72:C103" si="29">(alpha1*(1-beta1)*$A72*SCapital1)/(alpha1*(1-beta1)*$A72+beta1*(1-alpha1)*MAX(SLab1-$A72,0))</f>
        <v>54.237288135593225</v>
      </c>
      <c r="D72" s="2">
        <f t="shared" si="22"/>
        <v>323.63228535204007</v>
      </c>
      <c r="E72" s="2">
        <f t="shared" si="23"/>
        <v>58.068137692657679</v>
      </c>
      <c r="F72" s="2">
        <f t="shared" si="24"/>
        <v>10.060789313901662</v>
      </c>
      <c r="G72" s="2">
        <f t="shared" si="25"/>
        <v>-40.295938670225098</v>
      </c>
      <c r="H72" s="2">
        <f t="shared" ref="H72:H103" si="30">interc0-mrt0*A72</f>
        <v>88</v>
      </c>
      <c r="I72" s="2">
        <f t="shared" ref="I72:I103" si="31">interc1-mrts1*A72</f>
        <v>-2.3529411764705515</v>
      </c>
      <c r="M72" s="2">
        <f t="shared" ref="M72:M103" si="32">TechA0*(B72^alpha0)*(A72^(1-alpha0))</f>
        <v>53.968917238021319</v>
      </c>
      <c r="N72" s="2">
        <f t="shared" ref="N72:N103" si="33">TechB0*(MAX(SCapital0-B72,0)^beta0)*(MAX(SLab0-A72,0)^(1-beta0))</f>
        <v>61.699997745996811</v>
      </c>
      <c r="O72" s="2">
        <f t="shared" ref="O72:O103" si="34">TechA1*(C72^alpha1)*(A72^(1-alpha1))</f>
        <v>62.949425837025544</v>
      </c>
      <c r="P72" s="2">
        <f t="shared" ref="P72:P103" si="35">TechB1*(MAX(SCapital1-C72,0)^beta1)*(MAX(SLab1-A72,0)^(1-beta1))</f>
        <v>17.263587408868709</v>
      </c>
      <c r="Q72" s="1">
        <f t="shared" si="26"/>
        <v>85.710801022803736</v>
      </c>
      <c r="R72" s="1">
        <f t="shared" si="27"/>
        <v>22.820702522817893</v>
      </c>
    </row>
    <row r="73" spans="1:18" x14ac:dyDescent="0.35">
      <c r="A73" s="1">
        <v>65</v>
      </c>
      <c r="B73" s="2">
        <f t="shared" si="28"/>
        <v>12.093023255813954</v>
      </c>
      <c r="C73" s="2">
        <f t="shared" si="29"/>
        <v>61.611374407582943</v>
      </c>
      <c r="D73" s="2">
        <f t="shared" ref="D73:D104" si="36">(X1e0/(TechA0*($A73^(1-alpha0))))^(1/alpha0)</f>
        <v>281.48249775368248</v>
      </c>
      <c r="E73" s="2">
        <f t="shared" ref="E73:E104" si="37">SCapital0-(X2e0/(TechB0*(MAX(SLab0-$A73,0)^(1-beta0))))^(1/beta0)</f>
        <v>57.27319139048236</v>
      </c>
      <c r="F73" s="2">
        <f t="shared" ref="F73:F104" si="38">(X1e1/(TechA1*($A73^(1-alpha1))))^(1/alpha1)</f>
        <v>8.7504746393583126</v>
      </c>
      <c r="G73" s="2">
        <f t="shared" ref="G73:G104" si="39">SCapital1-(X2e1/(TechB1*((SLab1-$A73)^(1-beta1))))^(1/beta1)</f>
        <v>-69.956426165587231</v>
      </c>
      <c r="H73" s="2">
        <f t="shared" si="30"/>
        <v>85</v>
      </c>
      <c r="I73" s="2">
        <f t="shared" si="31"/>
        <v>-6.7647058823529278</v>
      </c>
      <c r="M73" s="2">
        <f t="shared" si="32"/>
        <v>54.938337091749617</v>
      </c>
      <c r="N73" s="2">
        <f t="shared" si="33"/>
        <v>60.819272968061654</v>
      </c>
      <c r="O73" s="2">
        <f t="shared" si="34"/>
        <v>64.652915003943505</v>
      </c>
      <c r="P73" s="2">
        <f t="shared" si="35"/>
        <v>13.847457472354453</v>
      </c>
      <c r="Q73" s="1">
        <f t="shared" ref="Q73:Q104" si="40">(util0/(M73^gamma0))^(1/(1-gamma0))</f>
        <v>82.223257042166182</v>
      </c>
      <c r="R73" s="1">
        <f t="shared" ref="R73:R104" si="41">(util1/(O73^gamma1))^(1/(1-gamma1))</f>
        <v>21.442276360144874</v>
      </c>
    </row>
    <row r="74" spans="1:18" x14ac:dyDescent="0.35">
      <c r="A74" s="1">
        <v>66</v>
      </c>
      <c r="B74" s="2">
        <f t="shared" si="28"/>
        <v>12.571428571428575</v>
      </c>
      <c r="C74" s="2">
        <f t="shared" si="29"/>
        <v>70.967741935483872</v>
      </c>
      <c r="D74" s="2">
        <f t="shared" si="36"/>
        <v>245.34442055695314</v>
      </c>
      <c r="E74" s="2">
        <f t="shared" si="37"/>
        <v>56.43946481708403</v>
      </c>
      <c r="F74" s="2">
        <f t="shared" si="38"/>
        <v>7.6270466090234441</v>
      </c>
      <c r="G74" s="2">
        <f t="shared" si="39"/>
        <v>-122.70592063198143</v>
      </c>
      <c r="H74" s="2">
        <f t="shared" si="30"/>
        <v>82</v>
      </c>
      <c r="I74" s="2">
        <f t="shared" si="31"/>
        <v>-11.176470588235247</v>
      </c>
      <c r="M74" s="2">
        <f t="shared" si="32"/>
        <v>55.914958281046808</v>
      </c>
      <c r="N74" s="2">
        <f t="shared" si="33"/>
        <v>59.921626892731098</v>
      </c>
      <c r="O74" s="2">
        <f t="shared" si="34"/>
        <v>66.480708731283158</v>
      </c>
      <c r="P74" s="2">
        <f t="shared" si="35"/>
        <v>9.9572746788007134</v>
      </c>
      <c r="Q74" s="1">
        <f t="shared" si="40"/>
        <v>78.911237386648764</v>
      </c>
      <c r="R74" s="1">
        <f t="shared" si="41"/>
        <v>20.091852711643416</v>
      </c>
    </row>
    <row r="75" spans="1:18" x14ac:dyDescent="0.35">
      <c r="A75" s="1">
        <v>67</v>
      </c>
      <c r="B75" s="2">
        <f t="shared" si="28"/>
        <v>13.07317073170732</v>
      </c>
      <c r="C75" s="2">
        <f t="shared" si="29"/>
        <v>83.229813664596278</v>
      </c>
      <c r="D75" s="2">
        <f t="shared" si="36"/>
        <v>214.28826156042791</v>
      </c>
      <c r="E75" s="2">
        <f t="shared" si="37"/>
        <v>55.563839682971746</v>
      </c>
      <c r="F75" s="2">
        <f t="shared" si="38"/>
        <v>6.6616006794765932</v>
      </c>
      <c r="G75" s="2">
        <f t="shared" si="39"/>
        <v>-253.52361269075311</v>
      </c>
      <c r="H75" s="2">
        <f t="shared" si="30"/>
        <v>79</v>
      </c>
      <c r="I75" s="2">
        <f t="shared" si="31"/>
        <v>-15.588235294117624</v>
      </c>
      <c r="M75" s="2">
        <f t="shared" si="32"/>
        <v>56.899102452608773</v>
      </c>
      <c r="N75" s="2">
        <f t="shared" si="33"/>
        <v>59.006231544012536</v>
      </c>
      <c r="O75" s="2">
        <f t="shared" si="34"/>
        <v>68.469193867336216</v>
      </c>
      <c r="P75" s="2">
        <f t="shared" si="35"/>
        <v>5.4290361425013529</v>
      </c>
      <c r="Q75" s="1">
        <f t="shared" si="40"/>
        <v>75.763185923957437</v>
      </c>
      <c r="R75" s="1">
        <f t="shared" si="41"/>
        <v>18.756608480449437</v>
      </c>
    </row>
    <row r="76" spans="1:18" x14ac:dyDescent="0.35">
      <c r="A76" s="1">
        <v>68</v>
      </c>
      <c r="B76" s="2">
        <f t="shared" si="28"/>
        <v>13.600000000000003</v>
      </c>
      <c r="C76" s="2">
        <f t="shared" si="29"/>
        <v>100</v>
      </c>
      <c r="D76" s="2">
        <f t="shared" si="36"/>
        <v>187.53891174390404</v>
      </c>
      <c r="E76" s="2">
        <f t="shared" si="37"/>
        <v>54.642842203784582</v>
      </c>
      <c r="F76" s="2">
        <f t="shared" si="38"/>
        <v>5.8300409588660358</v>
      </c>
      <c r="G76" s="2" t="e">
        <f t="shared" si="39"/>
        <v>#DIV/0!</v>
      </c>
      <c r="H76" s="2">
        <f t="shared" si="30"/>
        <v>76</v>
      </c>
      <c r="I76" s="2">
        <f t="shared" si="31"/>
        <v>-19.999999999999943</v>
      </c>
      <c r="M76" s="2">
        <f t="shared" si="32"/>
        <v>57.891114731413381</v>
      </c>
      <c r="N76" s="2">
        <f t="shared" si="33"/>
        <v>58.07219434543682</v>
      </c>
      <c r="O76" s="2">
        <f t="shared" si="34"/>
        <v>70.673731372354197</v>
      </c>
      <c r="P76" s="2">
        <f t="shared" si="35"/>
        <v>0</v>
      </c>
      <c r="Q76" s="1">
        <f t="shared" si="40"/>
        <v>72.768440947256252</v>
      </c>
      <c r="R76" s="1">
        <f t="shared" si="41"/>
        <v>17.419717087492089</v>
      </c>
    </row>
    <row r="77" spans="1:18" x14ac:dyDescent="0.35">
      <c r="A77" s="1">
        <v>69</v>
      </c>
      <c r="B77" s="2">
        <f t="shared" si="28"/>
        <v>14.153846153846153</v>
      </c>
      <c r="C77" s="2">
        <f t="shared" si="29"/>
        <v>100</v>
      </c>
      <c r="D77" s="2">
        <f t="shared" si="36"/>
        <v>164.44845183463443</v>
      </c>
      <c r="E77" s="2">
        <f t="shared" si="37"/>
        <v>53.672589863073249</v>
      </c>
      <c r="F77" s="2">
        <f t="shared" si="38"/>
        <v>5.1122255157758802</v>
      </c>
      <c r="G77" s="2" t="e">
        <f t="shared" si="39"/>
        <v>#NUM!</v>
      </c>
      <c r="H77" s="2">
        <f t="shared" si="30"/>
        <v>73</v>
      </c>
      <c r="I77" s="2">
        <f t="shared" si="31"/>
        <v>-24.41176470588232</v>
      </c>
      <c r="M77" s="2">
        <f t="shared" si="32"/>
        <v>58.891366098705397</v>
      </c>
      <c r="N77" s="2">
        <f t="shared" si="33"/>
        <v>57.118551172462851</v>
      </c>
      <c r="O77" s="2">
        <f t="shared" si="34"/>
        <v>71.608434888713617</v>
      </c>
      <c r="P77" s="2">
        <f t="shared" si="35"/>
        <v>0</v>
      </c>
      <c r="Q77" s="1">
        <f t="shared" si="40"/>
        <v>69.917152394552815</v>
      </c>
      <c r="R77" s="1">
        <f t="shared" si="41"/>
        <v>16.893775691921981</v>
      </c>
    </row>
    <row r="78" spans="1:18" x14ac:dyDescent="0.35">
      <c r="A78" s="1">
        <v>70</v>
      </c>
      <c r="B78" s="2">
        <f t="shared" si="28"/>
        <v>14.736842105263158</v>
      </c>
      <c r="C78" s="2">
        <f t="shared" si="29"/>
        <v>100</v>
      </c>
      <c r="D78" s="2">
        <f t="shared" si="36"/>
        <v>144.47384985599939</v>
      </c>
      <c r="E78" s="2">
        <f t="shared" si="37"/>
        <v>52.648728172854987</v>
      </c>
      <c r="F78" s="2">
        <f t="shared" si="38"/>
        <v>4.4912730606847875</v>
      </c>
      <c r="G78" s="2" t="e">
        <f t="shared" si="39"/>
        <v>#NUM!</v>
      </c>
      <c r="H78" s="2">
        <f t="shared" si="30"/>
        <v>70</v>
      </c>
      <c r="I78" s="2">
        <f t="shared" si="31"/>
        <v>-28.823529411764639</v>
      </c>
      <c r="M78" s="2">
        <f t="shared" si="32"/>
        <v>59.900256080433095</v>
      </c>
      <c r="N78" s="2">
        <f t="shared" si="33"/>
        <v>56.144258446024075</v>
      </c>
      <c r="O78" s="2">
        <f t="shared" si="34"/>
        <v>72.541784693722022</v>
      </c>
      <c r="P78" s="2">
        <f t="shared" si="35"/>
        <v>0</v>
      </c>
      <c r="Q78" s="1">
        <f t="shared" si="40"/>
        <v>67.200207568843339</v>
      </c>
      <c r="R78" s="1">
        <f t="shared" si="41"/>
        <v>16.390942623066056</v>
      </c>
    </row>
    <row r="79" spans="1:18" x14ac:dyDescent="0.35">
      <c r="A79" s="1">
        <v>71</v>
      </c>
      <c r="B79" s="2">
        <f t="shared" si="28"/>
        <v>15.351351351351354</v>
      </c>
      <c r="C79" s="2">
        <f t="shared" si="29"/>
        <v>100</v>
      </c>
      <c r="D79" s="2">
        <f t="shared" si="36"/>
        <v>127.15881364731425</v>
      </c>
      <c r="E79" s="2">
        <f t="shared" si="37"/>
        <v>51.566355145203005</v>
      </c>
      <c r="F79" s="2">
        <f t="shared" si="38"/>
        <v>3.9529987934290838</v>
      </c>
      <c r="G79" s="2" t="e">
        <f t="shared" si="39"/>
        <v>#NUM!</v>
      </c>
      <c r="H79" s="2">
        <f t="shared" si="30"/>
        <v>67</v>
      </c>
      <c r="I79" s="2">
        <f t="shared" si="31"/>
        <v>-33.235294117647015</v>
      </c>
      <c r="M79" s="2">
        <f t="shared" si="32"/>
        <v>60.918215796167502</v>
      </c>
      <c r="N79" s="2">
        <f t="shared" si="33"/>
        <v>55.148184104465187</v>
      </c>
      <c r="O79" s="2">
        <f t="shared" si="34"/>
        <v>73.473802046254576</v>
      </c>
      <c r="P79" s="2">
        <f t="shared" si="35"/>
        <v>0</v>
      </c>
      <c r="Q79" s="1">
        <f t="shared" si="40"/>
        <v>64.609164348877329</v>
      </c>
      <c r="R79" s="1">
        <f t="shared" si="41"/>
        <v>15.90989383855227</v>
      </c>
    </row>
    <row r="80" spans="1:18" x14ac:dyDescent="0.35">
      <c r="A80" s="1">
        <v>72</v>
      </c>
      <c r="B80" s="2">
        <f t="shared" si="28"/>
        <v>16.000000000000004</v>
      </c>
      <c r="C80" s="2">
        <f t="shared" si="29"/>
        <v>99.999999999999986</v>
      </c>
      <c r="D80" s="2">
        <f t="shared" si="36"/>
        <v>112.1189799731998</v>
      </c>
      <c r="E80" s="2">
        <f t="shared" si="37"/>
        <v>50.419930565538124</v>
      </c>
      <c r="F80" s="2">
        <f t="shared" si="38"/>
        <v>3.4854539755602651</v>
      </c>
      <c r="G80" s="2" t="e">
        <f t="shared" si="39"/>
        <v>#NUM!</v>
      </c>
      <c r="H80" s="2">
        <f t="shared" si="30"/>
        <v>64</v>
      </c>
      <c r="I80" s="2">
        <f t="shared" si="31"/>
        <v>-37.647058823529392</v>
      </c>
      <c r="M80" s="2">
        <f t="shared" si="32"/>
        <v>61.945711428207908</v>
      </c>
      <c r="N80" s="2">
        <f t="shared" si="33"/>
        <v>54.129097258089345</v>
      </c>
      <c r="O80" s="2">
        <f t="shared" si="34"/>
        <v>74.404507576783288</v>
      </c>
      <c r="P80" s="2">
        <f t="shared" si="35"/>
        <v>0</v>
      </c>
      <c r="Q80" s="1">
        <f t="shared" si="40"/>
        <v>62.136191007002033</v>
      </c>
      <c r="R80" s="1">
        <f t="shared" si="41"/>
        <v>15.449398361101267</v>
      </c>
    </row>
    <row r="81" spans="1:18" x14ac:dyDescent="0.35">
      <c r="A81" s="1">
        <v>73</v>
      </c>
      <c r="B81" s="2">
        <f t="shared" si="28"/>
        <v>16.685714285714287</v>
      </c>
      <c r="C81" s="2">
        <f t="shared" si="29"/>
        <v>100</v>
      </c>
      <c r="D81" s="2">
        <f t="shared" si="36"/>
        <v>99.029791531799589</v>
      </c>
      <c r="E81" s="2">
        <f t="shared" si="37"/>
        <v>49.20316633701767</v>
      </c>
      <c r="F81" s="2">
        <f t="shared" si="38"/>
        <v>3.0785490616835838</v>
      </c>
      <c r="G81" s="2" t="e">
        <f t="shared" si="39"/>
        <v>#NUM!</v>
      </c>
      <c r="H81" s="2">
        <f t="shared" si="30"/>
        <v>61</v>
      </c>
      <c r="I81" s="2">
        <f t="shared" si="31"/>
        <v>-42.058823529411711</v>
      </c>
      <c r="M81" s="2">
        <f t="shared" si="32"/>
        <v>62.983248182446381</v>
      </c>
      <c r="N81" s="2">
        <f t="shared" si="33"/>
        <v>53.085656289647837</v>
      </c>
      <c r="O81" s="2">
        <f t="shared" si="34"/>
        <v>75.333921314417864</v>
      </c>
      <c r="P81" s="2">
        <f t="shared" si="35"/>
        <v>0</v>
      </c>
      <c r="Q81" s="1">
        <f t="shared" si="40"/>
        <v>59.774011858615758</v>
      </c>
      <c r="R81" s="1">
        <f t="shared" si="41"/>
        <v>15.008310560976424</v>
      </c>
    </row>
    <row r="82" spans="1:18" x14ac:dyDescent="0.35">
      <c r="A82" s="1">
        <v>74</v>
      </c>
      <c r="B82" s="2">
        <f t="shared" si="28"/>
        <v>17.411764705882355</v>
      </c>
      <c r="C82" s="2">
        <f t="shared" si="29"/>
        <v>100</v>
      </c>
      <c r="D82" s="2">
        <f t="shared" si="36"/>
        <v>87.616545959909445</v>
      </c>
      <c r="E82" s="2">
        <f t="shared" si="37"/>
        <v>47.908893072032456</v>
      </c>
      <c r="F82" s="2">
        <f t="shared" si="38"/>
        <v>2.723744351882452</v>
      </c>
      <c r="G82" s="2" t="e">
        <f t="shared" si="39"/>
        <v>#NUM!</v>
      </c>
      <c r="H82" s="2">
        <f t="shared" si="30"/>
        <v>58</v>
      </c>
      <c r="I82" s="2">
        <f t="shared" si="31"/>
        <v>-46.470588235294088</v>
      </c>
      <c r="M82" s="2">
        <f t="shared" si="32"/>
        <v>64.031374827209973</v>
      </c>
      <c r="N82" s="2">
        <f t="shared" si="33"/>
        <v>52.01639511320397</v>
      </c>
      <c r="O82" s="2">
        <f t="shared" si="34"/>
        <v>76.262062712428872</v>
      </c>
      <c r="P82" s="2">
        <f t="shared" si="35"/>
        <v>0</v>
      </c>
      <c r="Q82" s="1">
        <f t="shared" si="40"/>
        <v>57.515858059926231</v>
      </c>
      <c r="R82" s="1">
        <f t="shared" si="41"/>
        <v>14.585563173335764</v>
      </c>
    </row>
    <row r="83" spans="1:18" x14ac:dyDescent="0.35">
      <c r="A83" s="1">
        <v>75</v>
      </c>
      <c r="B83" s="2">
        <f t="shared" si="28"/>
        <v>18.181818181818187</v>
      </c>
      <c r="C83" s="2">
        <f t="shared" si="29"/>
        <v>100</v>
      </c>
      <c r="D83" s="2">
        <f t="shared" si="36"/>
        <v>77.646205208605025</v>
      </c>
      <c r="E83" s="2">
        <f t="shared" si="37"/>
        <v>46.528896636780807</v>
      </c>
      <c r="F83" s="2">
        <f t="shared" si="38"/>
        <v>2.4137953689570755</v>
      </c>
      <c r="G83" s="2" t="e">
        <f t="shared" si="39"/>
        <v>#NUM!</v>
      </c>
      <c r="H83" s="2">
        <f t="shared" si="30"/>
        <v>55</v>
      </c>
      <c r="I83" s="2">
        <f t="shared" si="31"/>
        <v>-50.882352941176407</v>
      </c>
      <c r="M83" s="2">
        <f t="shared" si="32"/>
        <v>65.090688914471087</v>
      </c>
      <c r="N83" s="2">
        <f t="shared" si="33"/>
        <v>50.919707240051288</v>
      </c>
      <c r="O83" s="2">
        <f t="shared" si="34"/>
        <v>77.188950672357052</v>
      </c>
      <c r="P83" s="2">
        <f t="shared" si="35"/>
        <v>0</v>
      </c>
      <c r="Q83" s="1">
        <f t="shared" si="40"/>
        <v>55.355422949138578</v>
      </c>
      <c r="R83" s="1">
        <f t="shared" si="41"/>
        <v>14.180160971706055</v>
      </c>
    </row>
    <row r="84" spans="1:18" x14ac:dyDescent="0.35">
      <c r="A84" s="1">
        <v>76</v>
      </c>
      <c r="B84" s="2">
        <f t="shared" si="28"/>
        <v>19.000000000000004</v>
      </c>
      <c r="C84" s="2">
        <f t="shared" si="29"/>
        <v>100</v>
      </c>
      <c r="D84" s="2">
        <f t="shared" si="36"/>
        <v>68.920635826344466</v>
      </c>
      <c r="E84" s="2">
        <f t="shared" si="37"/>
        <v>45.053716357440109</v>
      </c>
      <c r="F84" s="2">
        <f t="shared" si="38"/>
        <v>2.1425427184272823</v>
      </c>
      <c r="G84" s="2" t="e">
        <f t="shared" si="39"/>
        <v>#NUM!</v>
      </c>
      <c r="H84" s="2">
        <f t="shared" si="30"/>
        <v>52</v>
      </c>
      <c r="I84" s="2">
        <f t="shared" si="31"/>
        <v>-55.294117647058783</v>
      </c>
      <c r="M84" s="2">
        <f t="shared" si="32"/>
        <v>66.161842810505433</v>
      </c>
      <c r="N84" s="2">
        <f t="shared" si="33"/>
        <v>49.793827220013313</v>
      </c>
      <c r="O84" s="2">
        <f t="shared" si="34"/>
        <v>78.114603566806082</v>
      </c>
      <c r="P84" s="2">
        <f t="shared" si="35"/>
        <v>0</v>
      </c>
      <c r="Q84" s="1">
        <f t="shared" si="40"/>
        <v>53.286821392587242</v>
      </c>
      <c r="R84" s="1">
        <f t="shared" si="41"/>
        <v>13.791175028162659</v>
      </c>
    </row>
    <row r="85" spans="1:18" x14ac:dyDescent="0.35">
      <c r="A85" s="1">
        <v>77</v>
      </c>
      <c r="B85" s="2">
        <f t="shared" si="28"/>
        <v>19.870967741935484</v>
      </c>
      <c r="C85" s="2">
        <f t="shared" si="29"/>
        <v>100</v>
      </c>
      <c r="D85" s="2">
        <f t="shared" si="36"/>
        <v>61.271015641033131</v>
      </c>
      <c r="E85" s="2">
        <f t="shared" si="37"/>
        <v>43.472393851456019</v>
      </c>
      <c r="F85" s="2">
        <f t="shared" si="38"/>
        <v>1.9047382084969153</v>
      </c>
      <c r="G85" s="2" t="e">
        <f t="shared" si="39"/>
        <v>#NUM!</v>
      </c>
      <c r="H85" s="2">
        <f t="shared" si="30"/>
        <v>49</v>
      </c>
      <c r="I85" s="2">
        <f t="shared" si="31"/>
        <v>-59.70588235294116</v>
      </c>
      <c r="M85" s="2">
        <f t="shared" si="32"/>
        <v>67.245550691574749</v>
      </c>
      <c r="N85" s="2">
        <f t="shared" si="33"/>
        <v>48.63680892449316</v>
      </c>
      <c r="O85" s="2">
        <f t="shared" si="34"/>
        <v>79.039039261005598</v>
      </c>
      <c r="P85" s="2">
        <f t="shared" si="35"/>
        <v>0</v>
      </c>
      <c r="Q85" s="1">
        <f t="shared" si="40"/>
        <v>51.304552653091612</v>
      </c>
      <c r="R85" s="1">
        <f t="shared" si="41"/>
        <v>13.417737498944668</v>
      </c>
    </row>
    <row r="86" spans="1:18" x14ac:dyDescent="0.35">
      <c r="A86" s="1">
        <v>78</v>
      </c>
      <c r="B86" s="2">
        <f t="shared" si="28"/>
        <v>20.8</v>
      </c>
      <c r="C86" s="2">
        <f t="shared" si="29"/>
        <v>100</v>
      </c>
      <c r="D86" s="2">
        <f t="shared" si="36"/>
        <v>54.553193847597939</v>
      </c>
      <c r="E86" s="2">
        <f t="shared" si="37"/>
        <v>41.772157628730675</v>
      </c>
      <c r="F86" s="2">
        <f t="shared" si="38"/>
        <v>1.6959006086308519</v>
      </c>
      <c r="G86" s="2" t="e">
        <f t="shared" si="39"/>
        <v>#NUM!</v>
      </c>
      <c r="H86" s="2">
        <f t="shared" si="30"/>
        <v>46</v>
      </c>
      <c r="I86" s="2">
        <f t="shared" si="31"/>
        <v>-64.117647058823479</v>
      </c>
      <c r="M86" s="2">
        <f t="shared" si="32"/>
        <v>68.342596696259719</v>
      </c>
      <c r="N86" s="2">
        <f t="shared" si="33"/>
        <v>47.446500007341911</v>
      </c>
      <c r="O86" s="2">
        <f t="shared" si="34"/>
        <v>79.96227513322691</v>
      </c>
      <c r="P86" s="2">
        <f t="shared" si="35"/>
        <v>0</v>
      </c>
      <c r="Q86" s="1">
        <f t="shared" si="40"/>
        <v>49.403466343926262</v>
      </c>
      <c r="R86" s="1">
        <f t="shared" si="41"/>
        <v>13.059036881329396</v>
      </c>
    </row>
    <row r="87" spans="1:18" x14ac:dyDescent="0.35">
      <c r="A87" s="1">
        <v>79</v>
      </c>
      <c r="B87" s="2">
        <f t="shared" si="28"/>
        <v>21.793103448275865</v>
      </c>
      <c r="C87" s="2">
        <f t="shared" si="29"/>
        <v>100</v>
      </c>
      <c r="D87" s="2">
        <f t="shared" si="36"/>
        <v>48.643832491905378</v>
      </c>
      <c r="E87" s="2">
        <f t="shared" si="37"/>
        <v>39.938023224394684</v>
      </c>
      <c r="F87" s="2">
        <f t="shared" si="38"/>
        <v>1.5121956994785906</v>
      </c>
      <c r="G87" s="2" t="e">
        <f t="shared" si="39"/>
        <v>#NUM!</v>
      </c>
      <c r="H87" s="2">
        <f t="shared" si="30"/>
        <v>43</v>
      </c>
      <c r="I87" s="2">
        <f t="shared" si="31"/>
        <v>-68.529411764705856</v>
      </c>
      <c r="M87" s="2">
        <f t="shared" si="32"/>
        <v>69.453844471983871</v>
      </c>
      <c r="N87" s="2">
        <f t="shared" si="33"/>
        <v>46.220511711840217</v>
      </c>
      <c r="O87" s="2">
        <f t="shared" si="34"/>
        <v>80.88432809412663</v>
      </c>
      <c r="P87" s="2">
        <f t="shared" si="35"/>
        <v>0</v>
      </c>
      <c r="Q87" s="1">
        <f t="shared" si="40"/>
        <v>47.578731068998252</v>
      </c>
      <c r="R87" s="1">
        <f t="shared" si="41"/>
        <v>12.714313693788533</v>
      </c>
    </row>
    <row r="88" spans="1:18" x14ac:dyDescent="0.35">
      <c r="A88" s="1">
        <v>80</v>
      </c>
      <c r="B88" s="2">
        <f t="shared" si="28"/>
        <v>22.857142857142858</v>
      </c>
      <c r="C88" s="2">
        <f t="shared" si="29"/>
        <v>100</v>
      </c>
      <c r="D88" s="2">
        <f t="shared" si="36"/>
        <v>43.437190047398524</v>
      </c>
      <c r="E88" s="2">
        <f t="shared" si="37"/>
        <v>37.952280927081745</v>
      </c>
      <c r="F88" s="2">
        <f t="shared" si="38"/>
        <v>1.350336283598558</v>
      </c>
      <c r="G88" s="2" t="e">
        <f t="shared" si="39"/>
        <v>#NUM!</v>
      </c>
      <c r="H88" s="2">
        <f t="shared" si="30"/>
        <v>40</v>
      </c>
      <c r="I88" s="2">
        <f t="shared" si="31"/>
        <v>-72.941176470588175</v>
      </c>
      <c r="M88" s="2">
        <f t="shared" si="32"/>
        <v>70.580248412197378</v>
      </c>
      <c r="N88" s="2">
        <f t="shared" si="33"/>
        <v>44.956182974321479</v>
      </c>
      <c r="O88" s="2">
        <f t="shared" si="34"/>
        <v>81.805214605085808</v>
      </c>
      <c r="P88" s="2">
        <f t="shared" si="35"/>
        <v>0</v>
      </c>
      <c r="Q88" s="1">
        <f t="shared" si="40"/>
        <v>45.825805378464921</v>
      </c>
      <c r="R88" s="1">
        <f t="shared" si="41"/>
        <v>12.382856536867472</v>
      </c>
    </row>
    <row r="89" spans="1:18" x14ac:dyDescent="0.35">
      <c r="A89" s="1">
        <v>81</v>
      </c>
      <c r="B89" s="2">
        <f t="shared" si="28"/>
        <v>24</v>
      </c>
      <c r="C89" s="2">
        <f t="shared" si="29"/>
        <v>100</v>
      </c>
      <c r="D89" s="2">
        <f t="shared" si="36"/>
        <v>38.842433957281841</v>
      </c>
      <c r="E89" s="2">
        <f t="shared" si="37"/>
        <v>35.793831986031122</v>
      </c>
      <c r="F89" s="2">
        <f t="shared" si="38"/>
        <v>1.2074986401874706</v>
      </c>
      <c r="G89" s="2" t="e">
        <f t="shared" si="39"/>
        <v>#NUM!</v>
      </c>
      <c r="H89" s="2">
        <f t="shared" si="30"/>
        <v>37</v>
      </c>
      <c r="I89" s="2">
        <f t="shared" si="31"/>
        <v>-77.352941176470551</v>
      </c>
      <c r="M89" s="2">
        <f t="shared" si="32"/>
        <v>71.722866956940081</v>
      </c>
      <c r="N89" s="2">
        <f t="shared" si="33"/>
        <v>43.650537489887327</v>
      </c>
      <c r="O89" s="2">
        <f t="shared" si="34"/>
        <v>82.724950695610985</v>
      </c>
      <c r="P89" s="2">
        <f t="shared" si="35"/>
        <v>0</v>
      </c>
      <c r="Q89" s="1">
        <f t="shared" si="40"/>
        <v>44.140410689099241</v>
      </c>
      <c r="R89" s="1">
        <f t="shared" si="41"/>
        <v>12.063998496976248</v>
      </c>
    </row>
    <row r="90" spans="1:18" x14ac:dyDescent="0.35">
      <c r="A90" s="1">
        <v>82</v>
      </c>
      <c r="B90" s="2">
        <f t="shared" si="28"/>
        <v>25.23076923076923</v>
      </c>
      <c r="C90" s="2">
        <f t="shared" si="29"/>
        <v>100</v>
      </c>
      <c r="D90" s="2">
        <f t="shared" si="36"/>
        <v>34.781390026496219</v>
      </c>
      <c r="E90" s="2">
        <f t="shared" si="37"/>
        <v>33.437317662339083</v>
      </c>
      <c r="F90" s="2">
        <f t="shared" si="38"/>
        <v>1.0812525602029315</v>
      </c>
      <c r="G90" s="2" t="e">
        <f t="shared" si="39"/>
        <v>#NUM!</v>
      </c>
      <c r="H90" s="2">
        <f t="shared" si="30"/>
        <v>34</v>
      </c>
      <c r="I90" s="2">
        <f t="shared" si="31"/>
        <v>-81.764705882352871</v>
      </c>
      <c r="M90" s="2">
        <f t="shared" si="32"/>
        <v>72.882878429001721</v>
      </c>
      <c r="N90" s="2">
        <f t="shared" si="33"/>
        <v>42.300232029062201</v>
      </c>
      <c r="O90" s="2">
        <f t="shared" si="34"/>
        <v>83.643551979853427</v>
      </c>
      <c r="P90" s="2">
        <f t="shared" si="35"/>
        <v>0</v>
      </c>
      <c r="Q90" s="1">
        <f t="shared" si="40"/>
        <v>42.518505829803715</v>
      </c>
      <c r="R90" s="1">
        <f t="shared" si="41"/>
        <v>11.75711385945038</v>
      </c>
    </row>
    <row r="91" spans="1:18" x14ac:dyDescent="0.35">
      <c r="A91" s="1">
        <v>83</v>
      </c>
      <c r="B91" s="2">
        <f t="shared" si="28"/>
        <v>26.560000000000006</v>
      </c>
      <c r="C91" s="2">
        <f t="shared" si="29"/>
        <v>100</v>
      </c>
      <c r="D91" s="2">
        <f t="shared" si="36"/>
        <v>31.186653460606028</v>
      </c>
      <c r="E91" s="2">
        <f t="shared" si="37"/>
        <v>30.851960626341409</v>
      </c>
      <c r="F91" s="2">
        <f t="shared" si="38"/>
        <v>0.96950262403985799</v>
      </c>
      <c r="G91" s="2" t="e">
        <f t="shared" si="39"/>
        <v>#NUM!</v>
      </c>
      <c r="H91" s="2">
        <f t="shared" si="30"/>
        <v>31</v>
      </c>
      <c r="I91" s="2">
        <f t="shared" si="31"/>
        <v>-86.176470588235247</v>
      </c>
      <c r="M91" s="2">
        <f t="shared" si="32"/>
        <v>74.061600008952595</v>
      </c>
      <c r="N91" s="2">
        <f t="shared" si="33"/>
        <v>40.901493791846057</v>
      </c>
      <c r="O91" s="2">
        <f t="shared" si="34"/>
        <v>84.56103367230422</v>
      </c>
      <c r="P91" s="2">
        <f t="shared" si="35"/>
        <v>0</v>
      </c>
      <c r="Q91" s="1">
        <f t="shared" si="40"/>
        <v>40.956262873791161</v>
      </c>
      <c r="R91" s="1">
        <f t="shared" si="41"/>
        <v>11.461615100900872</v>
      </c>
    </row>
    <row r="92" spans="1:18" x14ac:dyDescent="0.35">
      <c r="A92" s="1">
        <v>84</v>
      </c>
      <c r="B92" s="2">
        <f t="shared" si="28"/>
        <v>28</v>
      </c>
      <c r="C92" s="2">
        <f t="shared" si="29"/>
        <v>100</v>
      </c>
      <c r="D92" s="2">
        <f t="shared" si="36"/>
        <v>27.999999999999993</v>
      </c>
      <c r="E92" s="2">
        <f t="shared" si="37"/>
        <v>28</v>
      </c>
      <c r="F92" s="2">
        <f t="shared" si="38"/>
        <v>0.87043880830003406</v>
      </c>
      <c r="G92" s="2" t="e">
        <f t="shared" si="39"/>
        <v>#NUM!</v>
      </c>
      <c r="H92" s="2">
        <f t="shared" si="30"/>
        <v>28</v>
      </c>
      <c r="I92" s="2">
        <f t="shared" si="31"/>
        <v>-90.588235294117624</v>
      </c>
      <c r="M92" s="2">
        <f t="shared" si="32"/>
        <v>75.260510626624011</v>
      </c>
      <c r="N92" s="2">
        <f t="shared" si="33"/>
        <v>39.450043908413406</v>
      </c>
      <c r="O92" s="2">
        <f t="shared" si="34"/>
        <v>85.477410602713434</v>
      </c>
      <c r="P92" s="2">
        <f t="shared" si="35"/>
        <v>0</v>
      </c>
      <c r="Q92" s="1">
        <f t="shared" si="40"/>
        <v>39.450043908413434</v>
      </c>
      <c r="R92" s="1">
        <f t="shared" si="41"/>
        <v>11.176950134102016</v>
      </c>
    </row>
    <row r="93" spans="1:18" x14ac:dyDescent="0.35">
      <c r="A93" s="1">
        <v>85</v>
      </c>
      <c r="B93" s="2">
        <f t="shared" si="28"/>
        <v>29.565217391304348</v>
      </c>
      <c r="C93" s="2">
        <f t="shared" si="29"/>
        <v>100</v>
      </c>
      <c r="D93" s="2">
        <f t="shared" si="36"/>
        <v>25.171046645859391</v>
      </c>
      <c r="E93" s="2">
        <f t="shared" si="37"/>
        <v>24.834541289557848</v>
      </c>
      <c r="F93" s="2">
        <f t="shared" si="38"/>
        <v>0.78249485164594323</v>
      </c>
      <c r="G93" s="2" t="e">
        <f t="shared" si="39"/>
        <v>#NUM!</v>
      </c>
      <c r="H93" s="2">
        <f t="shared" si="30"/>
        <v>25</v>
      </c>
      <c r="I93" s="2">
        <f t="shared" si="31"/>
        <v>-94.999999999999943</v>
      </c>
      <c r="M93" s="2">
        <f t="shared" si="32"/>
        <v>76.481278780935639</v>
      </c>
      <c r="N93" s="2">
        <f t="shared" si="33"/>
        <v>37.941003272536705</v>
      </c>
      <c r="O93" s="2">
        <f t="shared" si="34"/>
        <v>86.392697230281925</v>
      </c>
      <c r="P93" s="2">
        <f t="shared" si="35"/>
        <v>0</v>
      </c>
      <c r="Q93" s="1">
        <f t="shared" si="40"/>
        <v>37.996378368719846</v>
      </c>
      <c r="R93" s="1">
        <f t="shared" si="41"/>
        <v>10.902599781507634</v>
      </c>
    </row>
    <row r="94" spans="1:18" x14ac:dyDescent="0.35">
      <c r="A94" s="1">
        <v>86</v>
      </c>
      <c r="B94" s="2">
        <f t="shared" si="28"/>
        <v>31.272727272727273</v>
      </c>
      <c r="C94" s="2">
        <f t="shared" si="29"/>
        <v>99.999999999999986</v>
      </c>
      <c r="D94" s="2">
        <f t="shared" si="36"/>
        <v>22.65612043898517</v>
      </c>
      <c r="E94" s="2">
        <f t="shared" si="37"/>
        <v>21.296545623078813</v>
      </c>
      <c r="F94" s="2">
        <f t="shared" si="38"/>
        <v>0.7043130884147254</v>
      </c>
      <c r="G94" s="2" t="e">
        <f t="shared" si="39"/>
        <v>#NUM!</v>
      </c>
      <c r="H94" s="2">
        <f t="shared" si="30"/>
        <v>22</v>
      </c>
      <c r="I94" s="2">
        <f t="shared" si="31"/>
        <v>-99.41176470588232</v>
      </c>
      <c r="M94" s="2">
        <f t="shared" si="32"/>
        <v>77.725796618554256</v>
      </c>
      <c r="N94" s="2">
        <f t="shared" si="33"/>
        <v>36.368775620046172</v>
      </c>
      <c r="O94" s="2">
        <f t="shared" si="34"/>
        <v>87.306907657168537</v>
      </c>
      <c r="P94" s="2">
        <f t="shared" si="35"/>
        <v>0</v>
      </c>
      <c r="Q94" s="1">
        <f t="shared" si="40"/>
        <v>36.591940517450205</v>
      </c>
      <c r="R94" s="1">
        <f t="shared" si="41"/>
        <v>10.638075456002793</v>
      </c>
    </row>
    <row r="95" spans="1:18" x14ac:dyDescent="0.35">
      <c r="A95" s="1">
        <v>87</v>
      </c>
      <c r="B95" s="2">
        <f t="shared" si="28"/>
        <v>33.142857142857146</v>
      </c>
      <c r="C95" s="2">
        <f t="shared" si="29"/>
        <v>100.00000000000001</v>
      </c>
      <c r="D95" s="2">
        <f t="shared" si="36"/>
        <v>20.417301045161626</v>
      </c>
      <c r="E95" s="2">
        <f t="shared" si="37"/>
        <v>17.310522064356334</v>
      </c>
      <c r="F95" s="2">
        <f t="shared" si="38"/>
        <v>0.63471468537334041</v>
      </c>
      <c r="G95" s="2" t="e">
        <f t="shared" si="39"/>
        <v>#NUM!</v>
      </c>
      <c r="H95" s="2">
        <f t="shared" si="30"/>
        <v>19</v>
      </c>
      <c r="I95" s="2">
        <f t="shared" si="31"/>
        <v>-103.82352941176464</v>
      </c>
      <c r="M95" s="2">
        <f t="shared" si="32"/>
        <v>78.996222040411297</v>
      </c>
      <c r="N95" s="2">
        <f t="shared" si="33"/>
        <v>34.72690098401111</v>
      </c>
      <c r="O95" s="2">
        <f t="shared" si="34"/>
        <v>88.220055641354421</v>
      </c>
      <c r="P95" s="2">
        <f t="shared" si="35"/>
        <v>0</v>
      </c>
      <c r="Q95" s="1">
        <f t="shared" si="40"/>
        <v>35.2335265860698</v>
      </c>
      <c r="R95" s="1">
        <f t="shared" si="41"/>
        <v>10.382917029718914</v>
      </c>
    </row>
    <row r="96" spans="1:18" x14ac:dyDescent="0.35">
      <c r="A96" s="1">
        <v>88</v>
      </c>
      <c r="B96" s="2">
        <f t="shared" si="28"/>
        <v>35.200000000000003</v>
      </c>
      <c r="C96" s="2">
        <f t="shared" si="29"/>
        <v>100</v>
      </c>
      <c r="D96" s="2">
        <f t="shared" si="36"/>
        <v>18.421608847894525</v>
      </c>
      <c r="E96" s="2">
        <f t="shared" si="37"/>
        <v>12.778211544057328</v>
      </c>
      <c r="F96" s="2">
        <f t="shared" si="38"/>
        <v>0.57267440187609508</v>
      </c>
      <c r="G96" s="2" t="e">
        <f t="shared" si="39"/>
        <v>#NUM!</v>
      </c>
      <c r="H96" s="2">
        <f t="shared" si="30"/>
        <v>16</v>
      </c>
      <c r="I96" s="2">
        <f t="shared" si="31"/>
        <v>-108.23529411764702</v>
      </c>
      <c r="M96" s="2">
        <f t="shared" si="32"/>
        <v>80.295031216882364</v>
      </c>
      <c r="N96" s="2">
        <f t="shared" si="33"/>
        <v>33.007870133621246</v>
      </c>
      <c r="O96" s="2">
        <f t="shared" si="34"/>
        <v>89.132154608900066</v>
      </c>
      <c r="P96" s="2">
        <f t="shared" si="35"/>
        <v>0</v>
      </c>
      <c r="Q96" s="1">
        <f t="shared" si="40"/>
        <v>33.91803098922864</v>
      </c>
      <c r="R96" s="1">
        <f t="shared" si="41"/>
        <v>10.136690873712478</v>
      </c>
    </row>
    <row r="97" spans="1:18" x14ac:dyDescent="0.35">
      <c r="A97" s="1">
        <v>89</v>
      </c>
      <c r="B97" s="2">
        <f t="shared" si="28"/>
        <v>37.473684210526322</v>
      </c>
      <c r="C97" s="2">
        <f t="shared" si="29"/>
        <v>100</v>
      </c>
      <c r="D97" s="2">
        <f t="shared" si="36"/>
        <v>16.640315111047801</v>
      </c>
      <c r="E97" s="2">
        <f t="shared" si="37"/>
        <v>7.5690617660086303</v>
      </c>
      <c r="F97" s="2">
        <f t="shared" si="38"/>
        <v>0.51729914482133899</v>
      </c>
      <c r="G97" s="2" t="e">
        <f t="shared" si="39"/>
        <v>#NUM!</v>
      </c>
      <c r="H97" s="2">
        <f t="shared" si="30"/>
        <v>13</v>
      </c>
      <c r="I97" s="2">
        <f t="shared" si="31"/>
        <v>-112.64705882352933</v>
      </c>
      <c r="M97" s="2">
        <f t="shared" si="32"/>
        <v>81.625084758373433</v>
      </c>
      <c r="N97" s="2">
        <f t="shared" si="33"/>
        <v>31.202886968396008</v>
      </c>
      <c r="O97" s="2">
        <f t="shared" si="34"/>
        <v>90.043217665632881</v>
      </c>
      <c r="P97" s="2">
        <f t="shared" si="35"/>
        <v>0</v>
      </c>
      <c r="Q97" s="1">
        <f t="shared" si="40"/>
        <v>32.642420874323626</v>
      </c>
      <c r="R97" s="1">
        <f t="shared" si="41"/>
        <v>9.8989880530529994</v>
      </c>
    </row>
    <row r="98" spans="1:18" x14ac:dyDescent="0.35">
      <c r="A98" s="1">
        <v>90</v>
      </c>
      <c r="B98" s="2">
        <f t="shared" si="28"/>
        <v>40.000000000000007</v>
      </c>
      <c r="C98" s="2">
        <f t="shared" si="29"/>
        <v>100</v>
      </c>
      <c r="D98" s="2">
        <f t="shared" si="36"/>
        <v>15.048354757680352</v>
      </c>
      <c r="E98" s="2">
        <f t="shared" si="37"/>
        <v>1.5053854714223007</v>
      </c>
      <c r="F98" s="2">
        <f t="shared" si="38"/>
        <v>0.46780971364826585</v>
      </c>
      <c r="G98" s="2" t="e">
        <f t="shared" si="39"/>
        <v>#NUM!</v>
      </c>
      <c r="H98" s="2">
        <f t="shared" si="30"/>
        <v>10</v>
      </c>
      <c r="I98" s="2">
        <f t="shared" si="31"/>
        <v>-117.05882352941171</v>
      </c>
      <c r="M98" s="2">
        <f t="shared" si="32"/>
        <v>82.989712033355531</v>
      </c>
      <c r="N98" s="2">
        <f t="shared" si="33"/>
        <v>29.301560515835213</v>
      </c>
      <c r="O98" s="2">
        <f t="shared" si="34"/>
        <v>90.953257608296255</v>
      </c>
      <c r="P98" s="2">
        <f t="shared" si="35"/>
        <v>0</v>
      </c>
      <c r="Q98" s="1">
        <f t="shared" si="40"/>
        <v>31.403708046572866</v>
      </c>
      <c r="R98" s="1">
        <f t="shared" si="41"/>
        <v>9.6694226634203684</v>
      </c>
    </row>
    <row r="99" spans="1:18" x14ac:dyDescent="0.35">
      <c r="A99" s="1">
        <v>91</v>
      </c>
      <c r="B99" s="2">
        <f t="shared" si="28"/>
        <v>42.82352941176471</v>
      </c>
      <c r="C99" s="2">
        <f t="shared" si="29"/>
        <v>100</v>
      </c>
      <c r="D99" s="2">
        <f t="shared" si="36"/>
        <v>13.623825583303123</v>
      </c>
      <c r="E99" s="2">
        <f t="shared" si="37"/>
        <v>-5.66167196462807</v>
      </c>
      <c r="F99" s="2">
        <f t="shared" si="38"/>
        <v>0.42352523232921013</v>
      </c>
      <c r="G99" s="2" t="e">
        <f t="shared" si="39"/>
        <v>#NUM!</v>
      </c>
      <c r="H99" s="2">
        <f t="shared" si="30"/>
        <v>7</v>
      </c>
      <c r="I99" s="2">
        <f t="shared" si="31"/>
        <v>-121.47058823529409</v>
      </c>
      <c r="M99" s="2">
        <f t="shared" si="32"/>
        <v>84.392819948191146</v>
      </c>
      <c r="N99" s="2">
        <f t="shared" si="33"/>
        <v>27.291500239580927</v>
      </c>
      <c r="O99" s="2">
        <f t="shared" si="34"/>
        <v>91.862286935189971</v>
      </c>
      <c r="P99" s="2">
        <f t="shared" si="35"/>
        <v>0</v>
      </c>
      <c r="Q99" s="1">
        <f t="shared" si="40"/>
        <v>30.198916983548692</v>
      </c>
      <c r="R99" s="1">
        <f t="shared" si="41"/>
        <v>9.4476302966928749</v>
      </c>
    </row>
    <row r="100" spans="1:18" x14ac:dyDescent="0.35">
      <c r="A100" s="1">
        <v>92</v>
      </c>
      <c r="B100" s="2">
        <f t="shared" si="28"/>
        <v>46.000000000000007</v>
      </c>
      <c r="C100" s="2">
        <f t="shared" si="29"/>
        <v>100</v>
      </c>
      <c r="D100" s="2">
        <f t="shared" si="36"/>
        <v>12.34756041511957</v>
      </c>
      <c r="E100" s="2">
        <f t="shared" si="37"/>
        <v>-14.292875741710304</v>
      </c>
      <c r="F100" s="2">
        <f t="shared" si="38"/>
        <v>0.38384984904104819</v>
      </c>
      <c r="G100" s="2" t="e">
        <f t="shared" si="39"/>
        <v>#NUM!</v>
      </c>
      <c r="H100" s="2">
        <f t="shared" si="30"/>
        <v>4</v>
      </c>
      <c r="I100" s="2">
        <f t="shared" si="31"/>
        <v>-125.88235294117641</v>
      </c>
      <c r="M100" s="2">
        <f t="shared" si="32"/>
        <v>85.839035221386354</v>
      </c>
      <c r="N100" s="2">
        <f t="shared" si="33"/>
        <v>25.157776275776843</v>
      </c>
      <c r="O100" s="2">
        <f t="shared" si="34"/>
        <v>92.770317856332895</v>
      </c>
      <c r="P100" s="2">
        <f t="shared" si="35"/>
        <v>0</v>
      </c>
      <c r="Q100" s="1">
        <f t="shared" si="40"/>
        <v>29.025047166136993</v>
      </c>
      <c r="R100" s="1">
        <f t="shared" si="41"/>
        <v>9.2332666242371015</v>
      </c>
    </row>
    <row r="101" spans="1:18" x14ac:dyDescent="0.35">
      <c r="A101" s="1">
        <v>93</v>
      </c>
      <c r="B101" s="2">
        <f t="shared" si="28"/>
        <v>49.6</v>
      </c>
      <c r="C101" s="2">
        <f t="shared" si="29"/>
        <v>100</v>
      </c>
      <c r="D101" s="2">
        <f t="shared" si="36"/>
        <v>11.202760950798099</v>
      </c>
      <c r="E101" s="2">
        <f t="shared" si="37"/>
        <v>-24.93394627145581</v>
      </c>
      <c r="F101" s="2">
        <f t="shared" si="38"/>
        <v>0.34826135327438729</v>
      </c>
      <c r="G101" s="2" t="e">
        <f t="shared" si="39"/>
        <v>#NUM!</v>
      </c>
      <c r="H101" s="2">
        <f t="shared" si="30"/>
        <v>1</v>
      </c>
      <c r="I101" s="2">
        <f t="shared" si="31"/>
        <v>-130.29411764705878</v>
      </c>
      <c r="M101" s="2">
        <f t="shared" si="32"/>
        <v>87.33389332677018</v>
      </c>
      <c r="N101" s="2">
        <f t="shared" si="33"/>
        <v>22.882187390383947</v>
      </c>
      <c r="O101" s="2">
        <f t="shared" si="34"/>
        <v>93.677362303171847</v>
      </c>
      <c r="P101" s="2">
        <f t="shared" si="35"/>
        <v>0</v>
      </c>
      <c r="Q101" s="1">
        <f t="shared" si="40"/>
        <v>27.879027214982692</v>
      </c>
      <c r="R101" s="1">
        <f t="shared" si="41"/>
        <v>9.0260060877101065</v>
      </c>
    </row>
    <row r="102" spans="1:18" x14ac:dyDescent="0.35">
      <c r="A102" s="1">
        <v>94</v>
      </c>
      <c r="B102" s="2">
        <f t="shared" si="28"/>
        <v>53.714285714285715</v>
      </c>
      <c r="C102" s="2">
        <f t="shared" si="29"/>
        <v>100</v>
      </c>
      <c r="D102" s="2">
        <f t="shared" si="36"/>
        <v>10.17468384737621</v>
      </c>
      <c r="E102" s="2">
        <f t="shared" si="37"/>
        <v>-38.455958749511069</v>
      </c>
      <c r="F102" s="2">
        <f t="shared" si="38"/>
        <v>0.31630141724784833</v>
      </c>
      <c r="G102" s="2" t="e">
        <f t="shared" si="39"/>
        <v>#NUM!</v>
      </c>
      <c r="H102" s="2">
        <f t="shared" si="30"/>
        <v>-2</v>
      </c>
      <c r="I102" s="2">
        <f t="shared" si="31"/>
        <v>-134.7058823529411</v>
      </c>
      <c r="M102" s="2">
        <f t="shared" si="32"/>
        <v>88.884093742209672</v>
      </c>
      <c r="N102" s="2">
        <f t="shared" si="33"/>
        <v>20.442249390375533</v>
      </c>
      <c r="O102" s="2">
        <f t="shared" si="34"/>
        <v>94.583431937863196</v>
      </c>
      <c r="P102" s="2">
        <f t="shared" si="35"/>
        <v>0</v>
      </c>
      <c r="Q102" s="1">
        <f t="shared" si="40"/>
        <v>26.757657181042685</v>
      </c>
      <c r="R102" s="1">
        <f t="shared" si="41"/>
        <v>8.8255406881640646</v>
      </c>
    </row>
    <row r="103" spans="1:18" x14ac:dyDescent="0.35">
      <c r="A103" s="1">
        <v>95</v>
      </c>
      <c r="B103" s="2">
        <f t="shared" si="28"/>
        <v>58.46153846153846</v>
      </c>
      <c r="C103" s="2">
        <f t="shared" si="29"/>
        <v>100</v>
      </c>
      <c r="D103" s="2">
        <f t="shared" si="36"/>
        <v>9.2503711529273875</v>
      </c>
      <c r="E103" s="2">
        <f t="shared" si="37"/>
        <v>-56.35045471586659</v>
      </c>
      <c r="F103" s="2">
        <f t="shared" si="38"/>
        <v>0.28756721581025446</v>
      </c>
      <c r="G103" s="2" t="e">
        <f t="shared" si="39"/>
        <v>#NUM!</v>
      </c>
      <c r="H103" s="2">
        <f t="shared" si="30"/>
        <v>-5</v>
      </c>
      <c r="I103" s="2">
        <f t="shared" si="31"/>
        <v>-139.11764705882348</v>
      </c>
      <c r="M103" s="2">
        <f t="shared" si="32"/>
        <v>90.497851493645939</v>
      </c>
      <c r="N103" s="2">
        <f t="shared" si="33"/>
        <v>17.809767348245362</v>
      </c>
      <c r="O103" s="2">
        <f t="shared" si="34"/>
        <v>95.48853816214995</v>
      </c>
      <c r="P103" s="2">
        <f t="shared" si="35"/>
        <v>0</v>
      </c>
      <c r="Q103" s="1">
        <f t="shared" si="40"/>
        <v>25.657533534223575</v>
      </c>
      <c r="R103" s="1">
        <f t="shared" si="41"/>
        <v>8.6315788651207956</v>
      </c>
    </row>
    <row r="104" spans="1:18" x14ac:dyDescent="0.35">
      <c r="A104" s="1">
        <v>96</v>
      </c>
      <c r="B104" s="2">
        <f t="shared" ref="B104:B135" si="42">(alpha0*(1-beta0)*$A104*SCapital0)/(alpha0*(1-beta0)*$A104+beta0*(1-alpha0)*MAX(SLab0-$A104,0))</f>
        <v>64</v>
      </c>
      <c r="C104" s="2">
        <f t="shared" ref="C104:C135" si="43">(alpha1*(1-beta1)*$A104*SCapital1)/(alpha1*(1-beta1)*$A104+beta1*(1-alpha1)*MAX(SLab1-$A104,0))</f>
        <v>100</v>
      </c>
      <c r="D104" s="2">
        <f t="shared" si="36"/>
        <v>8.4184184372424635</v>
      </c>
      <c r="E104" s="2">
        <f t="shared" si="37"/>
        <v>-81.4286311848617</v>
      </c>
      <c r="F104" s="2">
        <f t="shared" si="38"/>
        <v>0.26170421829586987</v>
      </c>
      <c r="G104" s="2" t="e">
        <f t="shared" si="39"/>
        <v>#NUM!</v>
      </c>
      <c r="H104" s="2">
        <f t="shared" ref="H104:H135" si="44">interc0-mrt0*A104</f>
        <v>-8</v>
      </c>
      <c r="I104" s="2">
        <f t="shared" ref="I104:I135" si="45">interc1-mrts1*A104</f>
        <v>-143.52941176470586</v>
      </c>
      <c r="M104" s="2">
        <f t="shared" ref="M104:M135" si="46">TechA0*(B104^alpha0)*(A104^(1-alpha0))</f>
        <v>92.185392076052963</v>
      </c>
      <c r="N104" s="2">
        <f t="shared" ref="N104:N135" si="47">TechB0*(MAX(SCapital0-B104,0)^beta0)*(MAX(SLab0-A104,0)^(1-beta0))</f>
        <v>14.948771275386203</v>
      </c>
      <c r="O104" s="2">
        <f t="shared" ref="O104:O135" si="48">TechA1*(C104^alpha1)*(A104^(1-alpha1))</f>
        <v>96.392692125855135</v>
      </c>
      <c r="P104" s="2">
        <f t="shared" ref="P104:P135" si="49">TechB1*(MAX(SCapital1-C104,0)^beta1)*(MAX(SLab1-A104,0)^(1-beta1))</f>
        <v>0</v>
      </c>
      <c r="Q104" s="1">
        <f t="shared" si="40"/>
        <v>24.574948458524151</v>
      </c>
      <c r="R104" s="1">
        <f t="shared" si="41"/>
        <v>8.4438444580691954</v>
      </c>
    </row>
    <row r="105" spans="1:18" x14ac:dyDescent="0.35">
      <c r="A105" s="1">
        <v>97</v>
      </c>
      <c r="B105" s="2">
        <f t="shared" si="42"/>
        <v>70.545454545454547</v>
      </c>
      <c r="C105" s="2">
        <f t="shared" si="43"/>
        <v>100</v>
      </c>
      <c r="D105" s="2">
        <f t="shared" ref="D105:D136" si="50">(X1e0/(TechA0*($A105^(1-alpha0))))^(1/alpha0)</f>
        <v>7.6687750289811492</v>
      </c>
      <c r="E105" s="2">
        <f t="shared" ref="E105:E136" si="51">SCapital0-(X2e0/(TechB0*(MAX(SLab0-$A105,0)^(1-beta0))))^(1/beta0)</f>
        <v>-119.78513457023959</v>
      </c>
      <c r="F105" s="2">
        <f t="shared" ref="F105:F136" si="52">(X1e1/(TechA1*($A105^(1-alpha1))))^(1/alpha1)</f>
        <v>0.23839997847669331</v>
      </c>
      <c r="G105" s="2" t="e">
        <f t="shared" ref="G105:G136" si="53">SCapital1-(X2e1/(TechB1*((SLab1-$A105)^(1-beta1))))^(1/beta1)</f>
        <v>#NUM!</v>
      </c>
      <c r="H105" s="2">
        <f t="shared" si="44"/>
        <v>-11</v>
      </c>
      <c r="I105" s="2">
        <f t="shared" si="45"/>
        <v>-147.94117647058818</v>
      </c>
      <c r="M105" s="2">
        <f t="shared" si="46"/>
        <v>93.959666029246307</v>
      </c>
      <c r="N105" s="2">
        <f t="shared" si="47"/>
        <v>11.812447652357884</v>
      </c>
      <c r="O105" s="2">
        <f t="shared" si="48"/>
        <v>97.295904735013039</v>
      </c>
      <c r="P105" s="2">
        <f t="shared" si="49"/>
        <v>0</v>
      </c>
      <c r="Q105" s="1">
        <f t="shared" ref="Q105:Q136" si="54">(util0/(M105^gamma0))^(1/(1-gamma0))</f>
        <v>23.505750131603612</v>
      </c>
      <c r="R105" s="1">
        <f t="shared" ref="R105:R136" si="55">(util1/(O105^gamma1))^(1/(1-gamma1))</f>
        <v>8.2620757435419545</v>
      </c>
    </row>
    <row r="106" spans="1:18" x14ac:dyDescent="0.35">
      <c r="A106" s="1">
        <v>98</v>
      </c>
      <c r="B106" s="2">
        <f t="shared" si="42"/>
        <v>78.399999999999991</v>
      </c>
      <c r="C106" s="2">
        <f t="shared" si="43"/>
        <v>100</v>
      </c>
      <c r="D106" s="2">
        <f t="shared" si="50"/>
        <v>6.9925716429760376</v>
      </c>
      <c r="E106" s="2">
        <f t="shared" si="51"/>
        <v>-188.00000000000006</v>
      </c>
      <c r="F106" s="2">
        <f t="shared" si="52"/>
        <v>0.21737877599516664</v>
      </c>
      <c r="G106" s="2" t="e">
        <f t="shared" si="53"/>
        <v>#NUM!</v>
      </c>
      <c r="H106" s="2">
        <f t="shared" si="44"/>
        <v>-14</v>
      </c>
      <c r="I106" s="2">
        <f t="shared" si="45"/>
        <v>-152.35294117647055</v>
      </c>
      <c r="M106" s="2">
        <f t="shared" si="46"/>
        <v>95.837411317207</v>
      </c>
      <c r="N106" s="2">
        <f t="shared" si="47"/>
        <v>8.3384292644589202</v>
      </c>
      <c r="O106" s="2">
        <f t="shared" si="48"/>
        <v>98.198186659657551</v>
      </c>
      <c r="P106" s="2">
        <f t="shared" si="49"/>
        <v>0</v>
      </c>
      <c r="Q106" s="1">
        <f t="shared" si="54"/>
        <v>22.445142071885943</v>
      </c>
      <c r="R106" s="1">
        <f t="shared" si="55"/>
        <v>8.0860245415600911</v>
      </c>
    </row>
    <row r="107" spans="1:18" x14ac:dyDescent="0.35">
      <c r="A107" s="1">
        <v>99</v>
      </c>
      <c r="B107" s="2">
        <f t="shared" si="42"/>
        <v>88.000000000000014</v>
      </c>
      <c r="C107" s="2">
        <f t="shared" si="43"/>
        <v>100.00000000000001</v>
      </c>
      <c r="D107" s="2">
        <f t="shared" si="50"/>
        <v>6.3819714131565402</v>
      </c>
      <c r="E107" s="2">
        <f t="shared" si="51"/>
        <v>-357.17150296684127</v>
      </c>
      <c r="F107" s="2">
        <f t="shared" si="52"/>
        <v>0.19839698540974512</v>
      </c>
      <c r="G107" s="2" t="e">
        <f t="shared" si="53"/>
        <v>#NUM!</v>
      </c>
      <c r="H107" s="2">
        <f t="shared" si="44"/>
        <v>-17</v>
      </c>
      <c r="I107" s="2">
        <f t="shared" si="45"/>
        <v>-156.76470588235287</v>
      </c>
      <c r="M107" s="2">
        <f t="shared" si="46"/>
        <v>97.840788122967197</v>
      </c>
      <c r="N107" s="2">
        <f t="shared" si="47"/>
        <v>4.4412860698458365</v>
      </c>
      <c r="O107" s="2">
        <f t="shared" si="48"/>
        <v>99.099548341283381</v>
      </c>
      <c r="P107" s="2">
        <f t="shared" si="49"/>
        <v>0</v>
      </c>
      <c r="Q107" s="1">
        <f t="shared" si="54"/>
        <v>21.387383988202185</v>
      </c>
      <c r="R107" s="1">
        <f t="shared" si="55"/>
        <v>7.9154553858020904</v>
      </c>
    </row>
    <row r="108" spans="1:18" x14ac:dyDescent="0.35">
      <c r="A108" s="1">
        <v>100</v>
      </c>
      <c r="B108" s="2">
        <f t="shared" si="42"/>
        <v>100</v>
      </c>
      <c r="C108" s="2">
        <f t="shared" si="43"/>
        <v>100</v>
      </c>
      <c r="D108" s="2">
        <f t="shared" si="50"/>
        <v>5.8300409588659816</v>
      </c>
      <c r="E108" s="2" t="e">
        <f t="shared" si="51"/>
        <v>#DIV/0!</v>
      </c>
      <c r="F108" s="2">
        <f t="shared" si="52"/>
        <v>0.18123906802056053</v>
      </c>
      <c r="G108" s="2" t="e">
        <f t="shared" si="53"/>
        <v>#NUM!</v>
      </c>
      <c r="H108" s="2">
        <f t="shared" si="44"/>
        <v>-20</v>
      </c>
      <c r="I108" s="2">
        <f t="shared" si="45"/>
        <v>-161.17647058823525</v>
      </c>
      <c r="M108" s="2">
        <f t="shared" si="46"/>
        <v>100.00000000000007</v>
      </c>
      <c r="N108" s="2">
        <f t="shared" si="47"/>
        <v>0</v>
      </c>
      <c r="O108" s="2">
        <f t="shared" si="48"/>
        <v>100.00000000000007</v>
      </c>
      <c r="P108" s="2">
        <f t="shared" si="49"/>
        <v>0</v>
      </c>
      <c r="Q108" s="1">
        <f t="shared" si="54"/>
        <v>20.325326574790719</v>
      </c>
      <c r="R108" s="1">
        <f t="shared" si="55"/>
        <v>7.7501447523639664</v>
      </c>
    </row>
    <row r="109" spans="1:18" x14ac:dyDescent="0.35">
      <c r="A109" s="1">
        <v>101</v>
      </c>
      <c r="B109" s="2">
        <f t="shared" si="42"/>
        <v>100</v>
      </c>
      <c r="C109" s="2">
        <f t="shared" si="43"/>
        <v>100</v>
      </c>
      <c r="D109" s="2">
        <f t="shared" si="50"/>
        <v>5.3306386256410514</v>
      </c>
      <c r="E109" s="2" t="e">
        <f t="shared" si="51"/>
        <v>#DIV/0!</v>
      </c>
      <c r="F109" s="2">
        <f t="shared" si="52"/>
        <v>0.16571409759932607</v>
      </c>
      <c r="G109" s="2" t="e">
        <f t="shared" si="53"/>
        <v>#NUM!</v>
      </c>
      <c r="H109" s="2">
        <f t="shared" si="44"/>
        <v>-23</v>
      </c>
      <c r="I109" s="2">
        <f t="shared" si="45"/>
        <v>-165.58823529411757</v>
      </c>
      <c r="M109" s="2">
        <f t="shared" si="46"/>
        <v>100.89955164139084</v>
      </c>
      <c r="N109" s="2">
        <f t="shared" si="47"/>
        <v>0</v>
      </c>
      <c r="O109" s="2">
        <f t="shared" si="48"/>
        <v>100.89955164139084</v>
      </c>
      <c r="P109" s="2">
        <f t="shared" si="49"/>
        <v>0</v>
      </c>
      <c r="Q109" s="1">
        <f t="shared" si="54"/>
        <v>19.905021332224571</v>
      </c>
      <c r="R109" s="1">
        <f t="shared" si="55"/>
        <v>7.5898803424378212</v>
      </c>
    </row>
    <row r="110" spans="1:18" x14ac:dyDescent="0.35">
      <c r="A110" s="1">
        <v>102</v>
      </c>
      <c r="B110" s="2">
        <f t="shared" si="42"/>
        <v>100</v>
      </c>
      <c r="C110" s="2">
        <f t="shared" si="43"/>
        <v>100</v>
      </c>
      <c r="D110" s="2">
        <f t="shared" si="50"/>
        <v>4.878317472584448</v>
      </c>
      <c r="E110" s="2" t="e">
        <f t="shared" si="51"/>
        <v>#DIV/0!</v>
      </c>
      <c r="F110" s="2">
        <f t="shared" si="52"/>
        <v>0.15165274454805852</v>
      </c>
      <c r="G110" s="2" t="e">
        <f t="shared" si="53"/>
        <v>#NUM!</v>
      </c>
      <c r="H110" s="2">
        <f t="shared" si="44"/>
        <v>-26</v>
      </c>
      <c r="I110" s="2">
        <f t="shared" si="45"/>
        <v>-169.99999999999994</v>
      </c>
      <c r="M110" s="2">
        <f t="shared" si="46"/>
        <v>101.79821306309545</v>
      </c>
      <c r="N110" s="2">
        <f t="shared" si="47"/>
        <v>0</v>
      </c>
      <c r="O110" s="2">
        <f t="shared" si="48"/>
        <v>101.79821306309545</v>
      </c>
      <c r="P110" s="2">
        <f t="shared" si="49"/>
        <v>0</v>
      </c>
      <c r="Q110" s="1">
        <f t="shared" si="54"/>
        <v>19.497421101589374</v>
      </c>
      <c r="R110" s="1">
        <f t="shared" si="55"/>
        <v>7.4344604146499051</v>
      </c>
    </row>
    <row r="111" spans="1:18" x14ac:dyDescent="0.35">
      <c r="A111" s="1">
        <v>103</v>
      </c>
      <c r="B111" s="2">
        <f t="shared" si="42"/>
        <v>100</v>
      </c>
      <c r="C111" s="2">
        <f t="shared" si="43"/>
        <v>100</v>
      </c>
      <c r="D111" s="2">
        <f t="shared" si="50"/>
        <v>4.46824094112357</v>
      </c>
      <c r="E111" s="2" t="e">
        <f t="shared" si="51"/>
        <v>#DIV/0!</v>
      </c>
      <c r="F111" s="2">
        <f t="shared" si="52"/>
        <v>0.13890465428532237</v>
      </c>
      <c r="G111" s="2" t="e">
        <f t="shared" si="53"/>
        <v>#NUM!</v>
      </c>
      <c r="H111" s="2">
        <f t="shared" si="44"/>
        <v>-29</v>
      </c>
      <c r="I111" s="2">
        <f t="shared" si="45"/>
        <v>-174.41176470588232</v>
      </c>
      <c r="M111" s="2">
        <f t="shared" si="46"/>
        <v>102.69599386112667</v>
      </c>
      <c r="N111" s="2">
        <f t="shared" si="47"/>
        <v>0</v>
      </c>
      <c r="O111" s="2">
        <f t="shared" si="48"/>
        <v>102.69599386112667</v>
      </c>
      <c r="P111" s="2">
        <f t="shared" si="49"/>
        <v>0</v>
      </c>
      <c r="Q111" s="1">
        <f t="shared" si="54"/>
        <v>19.102022857951681</v>
      </c>
      <c r="R111" s="1">
        <f t="shared" si="55"/>
        <v>7.2836931631744388</v>
      </c>
    </row>
    <row r="112" spans="1:18" x14ac:dyDescent="0.35">
      <c r="A112" s="1">
        <v>104</v>
      </c>
      <c r="B112" s="2">
        <f t="shared" si="42"/>
        <v>100</v>
      </c>
      <c r="C112" s="2">
        <f t="shared" si="43"/>
        <v>100</v>
      </c>
      <c r="D112" s="2">
        <f t="shared" si="50"/>
        <v>4.0961094455805522</v>
      </c>
      <c r="E112" s="2" t="e">
        <f t="shared" si="51"/>
        <v>#DIV/0!</v>
      </c>
      <c r="F112" s="2">
        <f t="shared" si="52"/>
        <v>0.12733616515991589</v>
      </c>
      <c r="G112" s="2" t="e">
        <f t="shared" si="53"/>
        <v>#NUM!</v>
      </c>
      <c r="H112" s="2">
        <f t="shared" si="44"/>
        <v>-32</v>
      </c>
      <c r="I112" s="2">
        <f t="shared" si="45"/>
        <v>-178.82352941176464</v>
      </c>
      <c r="M112" s="2">
        <f t="shared" si="46"/>
        <v>103.59290343593578</v>
      </c>
      <c r="N112" s="2">
        <f t="shared" si="47"/>
        <v>0</v>
      </c>
      <c r="O112" s="2">
        <f t="shared" si="48"/>
        <v>103.59290343593578</v>
      </c>
      <c r="P112" s="2">
        <f t="shared" si="49"/>
        <v>0</v>
      </c>
      <c r="Q112" s="1">
        <f t="shared" si="54"/>
        <v>18.718348112893246</v>
      </c>
      <c r="R112" s="1">
        <f t="shared" si="55"/>
        <v>7.1373961380768316</v>
      </c>
    </row>
    <row r="113" spans="1:18" x14ac:dyDescent="0.35">
      <c r="A113" s="1">
        <v>105</v>
      </c>
      <c r="B113" s="2">
        <f t="shared" si="42"/>
        <v>100</v>
      </c>
      <c r="C113" s="2">
        <f t="shared" si="43"/>
        <v>100</v>
      </c>
      <c r="D113" s="2">
        <f t="shared" si="50"/>
        <v>3.7580963839999977</v>
      </c>
      <c r="E113" s="2" t="e">
        <f t="shared" si="51"/>
        <v>#DIV/0!</v>
      </c>
      <c r="F113" s="2">
        <f t="shared" si="52"/>
        <v>0.116828319213058</v>
      </c>
      <c r="G113" s="2" t="e">
        <f t="shared" si="53"/>
        <v>#NUM!</v>
      </c>
      <c r="H113" s="2">
        <f t="shared" si="44"/>
        <v>-35</v>
      </c>
      <c r="I113" s="2">
        <f t="shared" si="45"/>
        <v>-183.23529411764702</v>
      </c>
      <c r="M113" s="2">
        <f t="shared" si="46"/>
        <v>104.48895099824027</v>
      </c>
      <c r="N113" s="2">
        <f t="shared" si="47"/>
        <v>0</v>
      </c>
      <c r="O113" s="2">
        <f t="shared" si="48"/>
        <v>104.48895099824027</v>
      </c>
      <c r="P113" s="2">
        <f t="shared" si="49"/>
        <v>0</v>
      </c>
      <c r="Q113" s="1">
        <f t="shared" si="54"/>
        <v>18.345941496568745</v>
      </c>
      <c r="R113" s="1">
        <f t="shared" si="55"/>
        <v>6.9953957046455315</v>
      </c>
    </row>
    <row r="114" spans="1:18" x14ac:dyDescent="0.35">
      <c r="A114" s="1">
        <v>106</v>
      </c>
      <c r="B114" s="2">
        <f t="shared" si="42"/>
        <v>100</v>
      </c>
      <c r="C114" s="2">
        <f t="shared" si="43"/>
        <v>100</v>
      </c>
      <c r="D114" s="2">
        <f t="shared" si="50"/>
        <v>3.4507922858699285</v>
      </c>
      <c r="E114" s="2" t="e">
        <f t="shared" si="51"/>
        <v>#DIV/0!</v>
      </c>
      <c r="F114" s="2">
        <f t="shared" si="52"/>
        <v>0.10727512589298478</v>
      </c>
      <c r="G114" s="2" t="e">
        <f t="shared" si="53"/>
        <v>#NUM!</v>
      </c>
      <c r="H114" s="2">
        <f t="shared" si="44"/>
        <v>-38</v>
      </c>
      <c r="I114" s="2">
        <f t="shared" si="45"/>
        <v>-187.64705882352933</v>
      </c>
      <c r="M114" s="2">
        <f t="shared" si="46"/>
        <v>105.38414557462247</v>
      </c>
      <c r="N114" s="2">
        <f t="shared" si="47"/>
        <v>0</v>
      </c>
      <c r="O114" s="2">
        <f t="shared" si="48"/>
        <v>105.38414557462247</v>
      </c>
      <c r="P114" s="2">
        <f t="shared" si="49"/>
        <v>0</v>
      </c>
      <c r="Q114" s="1">
        <f t="shared" si="54"/>
        <v>17.984369434243476</v>
      </c>
      <c r="R114" s="1">
        <f t="shared" si="55"/>
        <v>6.8575265387494575</v>
      </c>
    </row>
    <row r="115" spans="1:18" x14ac:dyDescent="0.35">
      <c r="A115" s="1">
        <v>107</v>
      </c>
      <c r="B115" s="2">
        <f t="shared" si="42"/>
        <v>100</v>
      </c>
      <c r="C115" s="2">
        <f t="shared" si="43"/>
        <v>100</v>
      </c>
      <c r="D115" s="2">
        <f t="shared" si="50"/>
        <v>3.1711559981748882</v>
      </c>
      <c r="E115" s="2" t="e">
        <f t="shared" si="51"/>
        <v>#DIV/0!</v>
      </c>
      <c r="F115" s="2">
        <f t="shared" si="52"/>
        <v>9.8582044570887775E-2</v>
      </c>
      <c r="G115" s="2" t="e">
        <f t="shared" si="53"/>
        <v>#NUM!</v>
      </c>
      <c r="H115" s="2">
        <f t="shared" si="44"/>
        <v>-41</v>
      </c>
      <c r="I115" s="2">
        <f t="shared" si="45"/>
        <v>-192.05882352941171</v>
      </c>
      <c r="M115" s="2">
        <f t="shared" si="46"/>
        <v>106.27849601291271</v>
      </c>
      <c r="N115" s="2">
        <f t="shared" si="47"/>
        <v>0</v>
      </c>
      <c r="O115" s="2">
        <f t="shared" si="48"/>
        <v>106.27849601291271</v>
      </c>
      <c r="P115" s="2">
        <f t="shared" si="49"/>
        <v>0</v>
      </c>
      <c r="Q115" s="1">
        <f t="shared" si="54"/>
        <v>17.633218910193751</v>
      </c>
      <c r="R115" s="1">
        <f t="shared" si="55"/>
        <v>6.7236311555072934</v>
      </c>
    </row>
    <row r="116" spans="1:18" x14ac:dyDescent="0.35">
      <c r="A116" s="1">
        <v>108</v>
      </c>
      <c r="B116" s="2">
        <f t="shared" si="42"/>
        <v>100</v>
      </c>
      <c r="C116" s="2">
        <f t="shared" si="43"/>
        <v>100</v>
      </c>
      <c r="D116" s="2">
        <f t="shared" si="50"/>
        <v>2.9164719680068205</v>
      </c>
      <c r="E116" s="2" t="e">
        <f t="shared" si="51"/>
        <v>#DIV/0!</v>
      </c>
      <c r="F116" s="2">
        <f t="shared" si="52"/>
        <v>9.0664656581154066E-2</v>
      </c>
      <c r="G116" s="2" t="e">
        <f t="shared" si="53"/>
        <v>#NUM!</v>
      </c>
      <c r="H116" s="2">
        <f t="shared" si="44"/>
        <v>-44</v>
      </c>
      <c r="I116" s="2">
        <f t="shared" si="45"/>
        <v>-196.47058823529403</v>
      </c>
      <c r="M116" s="2">
        <f t="shared" si="46"/>
        <v>107.17201098736592</v>
      </c>
      <c r="N116" s="2">
        <f t="shared" si="47"/>
        <v>0</v>
      </c>
      <c r="O116" s="2">
        <f t="shared" si="48"/>
        <v>107.17201098736592</v>
      </c>
      <c r="P116" s="2">
        <f t="shared" si="49"/>
        <v>0</v>
      </c>
      <c r="Q116" s="1">
        <f t="shared" si="54"/>
        <v>17.292096312452941</v>
      </c>
      <c r="R116" s="1">
        <f t="shared" si="55"/>
        <v>6.5935594687835648</v>
      </c>
    </row>
    <row r="117" spans="1:18" x14ac:dyDescent="0.35">
      <c r="A117" s="1">
        <v>109</v>
      </c>
      <c r="B117" s="2">
        <f t="shared" si="42"/>
        <v>100</v>
      </c>
      <c r="C117" s="2">
        <f t="shared" si="43"/>
        <v>100</v>
      </c>
      <c r="D117" s="2">
        <f t="shared" si="50"/>
        <v>2.6843128131797651</v>
      </c>
      <c r="E117" s="2" t="e">
        <f t="shared" si="51"/>
        <v>#DIV/0!</v>
      </c>
      <c r="F117" s="2">
        <f t="shared" si="52"/>
        <v>8.3447501650310896E-2</v>
      </c>
      <c r="G117" s="2" t="e">
        <f t="shared" si="53"/>
        <v>#NUM!</v>
      </c>
      <c r="H117" s="2">
        <f t="shared" si="44"/>
        <v>-47</v>
      </c>
      <c r="I117" s="2">
        <f t="shared" si="45"/>
        <v>-200.88235294117641</v>
      </c>
      <c r="M117" s="2">
        <f t="shared" si="46"/>
        <v>108.06469900364165</v>
      </c>
      <c r="N117" s="2">
        <f t="shared" si="47"/>
        <v>0</v>
      </c>
      <c r="O117" s="2">
        <f t="shared" si="48"/>
        <v>108.06469900364165</v>
      </c>
      <c r="P117" s="2">
        <f t="shared" si="49"/>
        <v>0</v>
      </c>
      <c r="Q117" s="1">
        <f t="shared" si="54"/>
        <v>16.960626352425134</v>
      </c>
      <c r="R117" s="1">
        <f t="shared" si="55"/>
        <v>6.467168379232163</v>
      </c>
    </row>
    <row r="118" spans="1:18" x14ac:dyDescent="0.35">
      <c r="A118" s="1">
        <v>110</v>
      </c>
      <c r="B118" s="2">
        <f t="shared" si="42"/>
        <v>100</v>
      </c>
      <c r="C118" s="2">
        <f t="shared" si="43"/>
        <v>100</v>
      </c>
      <c r="D118" s="2">
        <f t="shared" si="50"/>
        <v>2.4725064856691001</v>
      </c>
      <c r="E118" s="2" t="e">
        <f t="shared" si="51"/>
        <v>#DIV/0!</v>
      </c>
      <c r="F118" s="2">
        <f t="shared" si="52"/>
        <v>7.6863057103568458E-2</v>
      </c>
      <c r="G118" s="2" t="e">
        <f t="shared" si="53"/>
        <v>#NUM!</v>
      </c>
      <c r="H118" s="2">
        <f t="shared" si="44"/>
        <v>-50</v>
      </c>
      <c r="I118" s="2">
        <f t="shared" si="45"/>
        <v>-205.29411764705878</v>
      </c>
      <c r="M118" s="2">
        <f t="shared" si="46"/>
        <v>108.95656840359747</v>
      </c>
      <c r="N118" s="2">
        <f t="shared" si="47"/>
        <v>0</v>
      </c>
      <c r="O118" s="2">
        <f t="shared" si="48"/>
        <v>108.95656840359747</v>
      </c>
      <c r="P118" s="2">
        <f t="shared" si="49"/>
        <v>0</v>
      </c>
      <c r="Q118" s="1">
        <f t="shared" si="54"/>
        <v>16.638451053881571</v>
      </c>
      <c r="R118" s="1">
        <f t="shared" si="55"/>
        <v>6.3443213887958301</v>
      </c>
    </row>
    <row r="119" spans="1:18" x14ac:dyDescent="0.35">
      <c r="A119" s="1">
        <v>111</v>
      </c>
      <c r="B119" s="2">
        <f t="shared" si="42"/>
        <v>100</v>
      </c>
      <c r="C119" s="2">
        <f t="shared" si="43"/>
        <v>100</v>
      </c>
      <c r="D119" s="2">
        <f t="shared" si="50"/>
        <v>2.279107429328548</v>
      </c>
      <c r="E119" s="2" t="e">
        <f t="shared" si="51"/>
        <v>#DIV/0!</v>
      </c>
      <c r="F119" s="2">
        <f t="shared" si="52"/>
        <v>7.0850841241874851E-2</v>
      </c>
      <c r="G119" s="2" t="e">
        <f t="shared" si="53"/>
        <v>#NUM!</v>
      </c>
      <c r="H119" s="2">
        <f t="shared" si="44"/>
        <v>-53</v>
      </c>
      <c r="I119" s="2">
        <f t="shared" si="45"/>
        <v>-209.7058823529411</v>
      </c>
      <c r="M119" s="2">
        <f t="shared" si="46"/>
        <v>109.84762736990294</v>
      </c>
      <c r="N119" s="2">
        <f t="shared" si="47"/>
        <v>0</v>
      </c>
      <c r="O119" s="2">
        <f t="shared" si="48"/>
        <v>109.84762736990294</v>
      </c>
      <c r="P119" s="2">
        <f t="shared" si="49"/>
        <v>0</v>
      </c>
      <c r="Q119" s="1">
        <f t="shared" si="54"/>
        <v>16.325228806302267</v>
      </c>
      <c r="R119" s="1">
        <f t="shared" si="55"/>
        <v>6.2248882397407366</v>
      </c>
    </row>
    <row r="120" spans="1:18" x14ac:dyDescent="0.35">
      <c r="A120" s="1">
        <v>112</v>
      </c>
      <c r="B120" s="2">
        <f t="shared" si="42"/>
        <v>100</v>
      </c>
      <c r="C120" s="2">
        <f t="shared" si="43"/>
        <v>100</v>
      </c>
      <c r="D120" s="2">
        <f t="shared" si="50"/>
        <v>2.1023712158203129</v>
      </c>
      <c r="E120" s="2" t="e">
        <f t="shared" si="51"/>
        <v>#DIV/0!</v>
      </c>
      <c r="F120" s="2">
        <f t="shared" si="52"/>
        <v>6.535662484653304E-2</v>
      </c>
      <c r="G120" s="2" t="e">
        <f t="shared" si="53"/>
        <v>#NUM!</v>
      </c>
      <c r="H120" s="2">
        <f t="shared" si="44"/>
        <v>-56</v>
      </c>
      <c r="I120" s="2">
        <f t="shared" si="45"/>
        <v>-214.11764705882348</v>
      </c>
      <c r="M120" s="2">
        <f t="shared" si="46"/>
        <v>110.73788393048417</v>
      </c>
      <c r="N120" s="2">
        <f t="shared" si="47"/>
        <v>0</v>
      </c>
      <c r="O120" s="2">
        <f t="shared" si="48"/>
        <v>110.73788393048417</v>
      </c>
      <c r="P120" s="2">
        <f t="shared" si="49"/>
        <v>0</v>
      </c>
      <c r="Q120" s="1">
        <f t="shared" si="54"/>
        <v>16.020633477931675</v>
      </c>
      <c r="R120" s="1">
        <f t="shared" si="55"/>
        <v>6.1087445764603769</v>
      </c>
    </row>
    <row r="121" spans="1:18" x14ac:dyDescent="0.35">
      <c r="A121" s="1">
        <v>113</v>
      </c>
      <c r="B121" s="2">
        <f t="shared" si="42"/>
        <v>100</v>
      </c>
      <c r="C121" s="2">
        <f t="shared" si="43"/>
        <v>100</v>
      </c>
      <c r="D121" s="2">
        <f t="shared" si="50"/>
        <v>1.940732213205387</v>
      </c>
      <c r="E121" s="2" t="e">
        <f t="shared" si="51"/>
        <v>#DIV/0!</v>
      </c>
      <c r="F121" s="2">
        <f t="shared" si="52"/>
        <v>6.0331736960427929E-2</v>
      </c>
      <c r="G121" s="2" t="e">
        <f t="shared" si="53"/>
        <v>#NUM!</v>
      </c>
      <c r="H121" s="2">
        <f t="shared" si="44"/>
        <v>-59</v>
      </c>
      <c r="I121" s="2">
        <f t="shared" si="45"/>
        <v>-218.5294117647058</v>
      </c>
      <c r="M121" s="2">
        <f t="shared" si="46"/>
        <v>111.62734596280468</v>
      </c>
      <c r="N121" s="2">
        <f t="shared" si="47"/>
        <v>0</v>
      </c>
      <c r="O121" s="2">
        <f t="shared" si="48"/>
        <v>111.62734596280468</v>
      </c>
      <c r="P121" s="2">
        <f t="shared" si="49"/>
        <v>0</v>
      </c>
      <c r="Q121" s="1">
        <f t="shared" si="54"/>
        <v>15.724353584290155</v>
      </c>
      <c r="R121" s="1">
        <f t="shared" si="55"/>
        <v>5.9957716284249534</v>
      </c>
    </row>
    <row r="122" spans="1:18" x14ac:dyDescent="0.35">
      <c r="A122" s="1">
        <v>114</v>
      </c>
      <c r="B122" s="2">
        <f t="shared" si="42"/>
        <v>100</v>
      </c>
      <c r="C122" s="2">
        <f t="shared" si="43"/>
        <v>100</v>
      </c>
      <c r="D122" s="2">
        <f t="shared" si="50"/>
        <v>1.7927839020011289</v>
      </c>
      <c r="E122" s="2" t="e">
        <f t="shared" si="51"/>
        <v>#DIV/0!</v>
      </c>
      <c r="F122" s="2">
        <f t="shared" si="52"/>
        <v>5.5732452971333772E-2</v>
      </c>
      <c r="G122" s="2" t="e">
        <f t="shared" si="53"/>
        <v>#NUM!</v>
      </c>
      <c r="H122" s="2">
        <f t="shared" si="44"/>
        <v>-62</v>
      </c>
      <c r="I122" s="2">
        <f t="shared" si="45"/>
        <v>-222.94117647058818</v>
      </c>
      <c r="M122" s="2">
        <f t="shared" si="46"/>
        <v>112.51602119799165</v>
      </c>
      <c r="N122" s="2">
        <f t="shared" si="47"/>
        <v>0</v>
      </c>
      <c r="O122" s="2">
        <f t="shared" si="48"/>
        <v>112.51602119799165</v>
      </c>
      <c r="P122" s="2">
        <f t="shared" si="49"/>
        <v>0</v>
      </c>
      <c r="Q122" s="1">
        <f t="shared" si="54"/>
        <v>15.436091508218807</v>
      </c>
      <c r="R122" s="1">
        <f t="shared" si="55"/>
        <v>5.8858559127807695</v>
      </c>
    </row>
    <row r="123" spans="1:18" x14ac:dyDescent="0.35">
      <c r="A123" s="1">
        <v>115</v>
      </c>
      <c r="B123" s="2">
        <f t="shared" si="42"/>
        <v>100</v>
      </c>
      <c r="C123" s="2">
        <f t="shared" si="43"/>
        <v>100</v>
      </c>
      <c r="D123" s="2">
        <f t="shared" si="50"/>
        <v>1.6572615052600996</v>
      </c>
      <c r="E123" s="2" t="e">
        <f t="shared" si="51"/>
        <v>#DIV/0!</v>
      </c>
      <c r="F123" s="2">
        <f t="shared" si="52"/>
        <v>5.151945463143285E-2</v>
      </c>
      <c r="G123" s="2" t="e">
        <f t="shared" si="53"/>
        <v>#NUM!</v>
      </c>
      <c r="H123" s="2">
        <f t="shared" si="44"/>
        <v>-65</v>
      </c>
      <c r="I123" s="2">
        <f t="shared" si="45"/>
        <v>-227.35294117647049</v>
      </c>
      <c r="M123" s="2">
        <f t="shared" si="46"/>
        <v>113.40391722481378</v>
      </c>
      <c r="N123" s="2">
        <f t="shared" si="47"/>
        <v>0</v>
      </c>
      <c r="O123" s="2">
        <f t="shared" si="48"/>
        <v>113.40391722481378</v>
      </c>
      <c r="P123" s="2">
        <f t="shared" si="49"/>
        <v>0</v>
      </c>
      <c r="Q123" s="1">
        <f t="shared" si="54"/>
        <v>15.155562767846636</v>
      </c>
      <c r="R123" s="1">
        <f t="shared" si="55"/>
        <v>5.7788889552225475</v>
      </c>
    </row>
    <row r="124" spans="1:18" x14ac:dyDescent="0.35">
      <c r="A124" s="1">
        <v>116</v>
      </c>
      <c r="B124" s="2">
        <f t="shared" si="42"/>
        <v>100</v>
      </c>
      <c r="C124" s="2">
        <f t="shared" si="43"/>
        <v>100</v>
      </c>
      <c r="D124" s="2">
        <f t="shared" si="50"/>
        <v>1.5330266436459317</v>
      </c>
      <c r="E124" s="2" t="e">
        <f t="shared" si="51"/>
        <v>#DIV/0!</v>
      </c>
      <c r="F124" s="2">
        <f t="shared" si="52"/>
        <v>4.7657353028120165E-2</v>
      </c>
      <c r="G124" s="2" t="e">
        <f t="shared" si="53"/>
        <v>#NUM!</v>
      </c>
      <c r="H124" s="2">
        <f t="shared" si="44"/>
        <v>-68</v>
      </c>
      <c r="I124" s="2">
        <f t="shared" si="45"/>
        <v>-231.76470588235287</v>
      </c>
      <c r="M124" s="2">
        <f t="shared" si="46"/>
        <v>114.29104149351753</v>
      </c>
      <c r="N124" s="2">
        <f t="shared" si="47"/>
        <v>0</v>
      </c>
      <c r="O124" s="2">
        <f t="shared" si="48"/>
        <v>114.29104149351753</v>
      </c>
      <c r="P124" s="2">
        <f t="shared" si="49"/>
        <v>0</v>
      </c>
      <c r="Q124" s="1">
        <f t="shared" si="54"/>
        <v>14.88249532914881</v>
      </c>
      <c r="R124" s="1">
        <f t="shared" si="55"/>
        <v>5.6747670278686044</v>
      </c>
    </row>
    <row r="125" spans="1:18" x14ac:dyDescent="0.35">
      <c r="A125" s="1">
        <v>117</v>
      </c>
      <c r="B125" s="2">
        <f t="shared" si="42"/>
        <v>100</v>
      </c>
      <c r="C125" s="2">
        <f t="shared" si="43"/>
        <v>100</v>
      </c>
      <c r="D125" s="2">
        <f t="shared" si="50"/>
        <v>1.4190537646684898</v>
      </c>
      <c r="E125" s="2" t="e">
        <f t="shared" si="51"/>
        <v>#DIV/0!</v>
      </c>
      <c r="F125" s="2">
        <f t="shared" si="52"/>
        <v>4.4114266708275632E-2</v>
      </c>
      <c r="G125" s="2" t="e">
        <f t="shared" si="53"/>
        <v>#NUM!</v>
      </c>
      <c r="H125" s="2">
        <f t="shared" si="44"/>
        <v>-71</v>
      </c>
      <c r="I125" s="2">
        <f t="shared" si="45"/>
        <v>-236.17647058823525</v>
      </c>
      <c r="M125" s="2">
        <f t="shared" si="46"/>
        <v>115.17740131952729</v>
      </c>
      <c r="N125" s="2">
        <f t="shared" si="47"/>
        <v>0</v>
      </c>
      <c r="O125" s="2">
        <f t="shared" si="48"/>
        <v>115.17740131952729</v>
      </c>
      <c r="P125" s="2">
        <f t="shared" si="49"/>
        <v>0</v>
      </c>
      <c r="Q125" s="1">
        <f t="shared" si="54"/>
        <v>14.616628960024174</v>
      </c>
      <c r="R125" s="1">
        <f t="shared" si="55"/>
        <v>5.5733909029675228</v>
      </c>
    </row>
    <row r="126" spans="1:18" x14ac:dyDescent="0.35">
      <c r="A126" s="1">
        <v>118</v>
      </c>
      <c r="B126" s="2">
        <f t="shared" si="42"/>
        <v>100</v>
      </c>
      <c r="C126" s="2">
        <f t="shared" si="43"/>
        <v>100</v>
      </c>
      <c r="D126" s="2">
        <f t="shared" si="50"/>
        <v>1.3144181281104577</v>
      </c>
      <c r="E126" s="2" t="e">
        <f t="shared" si="51"/>
        <v>#DIV/0!</v>
      </c>
      <c r="F126" s="2">
        <f t="shared" si="52"/>
        <v>4.0861448180015303E-2</v>
      </c>
      <c r="G126" s="2" t="e">
        <f t="shared" si="53"/>
        <v>#NUM!</v>
      </c>
      <c r="H126" s="2">
        <f t="shared" si="44"/>
        <v>-74</v>
      </c>
      <c r="I126" s="2">
        <f t="shared" si="45"/>
        <v>-240.58823529411757</v>
      </c>
      <c r="M126" s="2">
        <f t="shared" si="46"/>
        <v>116.06300388701595</v>
      </c>
      <c r="N126" s="2">
        <f t="shared" si="47"/>
        <v>0</v>
      </c>
      <c r="O126" s="2">
        <f t="shared" si="48"/>
        <v>116.06300388701595</v>
      </c>
      <c r="P126" s="2">
        <f t="shared" si="49"/>
        <v>0</v>
      </c>
      <c r="Q126" s="1">
        <f t="shared" si="54"/>
        <v>14.357714623055422</v>
      </c>
      <c r="R126" s="1">
        <f t="shared" si="55"/>
        <v>5.4746656213546299</v>
      </c>
    </row>
    <row r="127" spans="1:18" x14ac:dyDescent="0.35">
      <c r="A127" s="1">
        <v>119</v>
      </c>
      <c r="B127" s="2">
        <f t="shared" si="42"/>
        <v>100</v>
      </c>
      <c r="C127" s="2">
        <f t="shared" si="43"/>
        <v>100</v>
      </c>
      <c r="D127" s="2">
        <f t="shared" si="50"/>
        <v>1.2182851580081611</v>
      </c>
      <c r="E127" s="2" t="e">
        <f t="shared" si="51"/>
        <v>#DIV/0!</v>
      </c>
      <c r="F127" s="2">
        <f t="shared" si="52"/>
        <v>3.7872952896651511E-2</v>
      </c>
      <c r="G127" s="2" t="e">
        <f t="shared" si="53"/>
        <v>#NUM!</v>
      </c>
      <c r="H127" s="2">
        <f t="shared" si="44"/>
        <v>-77</v>
      </c>
      <c r="I127" s="2">
        <f t="shared" si="45"/>
        <v>-244.99999999999989</v>
      </c>
      <c r="M127" s="2">
        <f t="shared" si="46"/>
        <v>116.94785625235245</v>
      </c>
      <c r="N127" s="2">
        <f t="shared" si="47"/>
        <v>0</v>
      </c>
      <c r="O127" s="2">
        <f t="shared" si="48"/>
        <v>116.94785625235245</v>
      </c>
      <c r="P127" s="2">
        <f t="shared" si="49"/>
        <v>0</v>
      </c>
      <c r="Q127" s="1">
        <f t="shared" si="54"/>
        <v>14.105513904330371</v>
      </c>
      <c r="R127" s="1">
        <f t="shared" si="55"/>
        <v>5.3785002746588688</v>
      </c>
    </row>
    <row r="128" spans="1:18" x14ac:dyDescent="0.35">
      <c r="A128" s="1">
        <v>120</v>
      </c>
      <c r="B128" s="2">
        <f t="shared" si="42"/>
        <v>100</v>
      </c>
      <c r="C128" s="2">
        <f t="shared" si="43"/>
        <v>100</v>
      </c>
      <c r="D128" s="2">
        <f t="shared" si="50"/>
        <v>1.1299009960000022</v>
      </c>
      <c r="E128" s="2" t="e">
        <f t="shared" si="51"/>
        <v>#DIV/0!</v>
      </c>
      <c r="F128" s="2">
        <f t="shared" si="52"/>
        <v>3.5125345587687984E-2</v>
      </c>
      <c r="G128" s="2" t="e">
        <f t="shared" si="53"/>
        <v>#NUM!</v>
      </c>
      <c r="H128" s="2">
        <f t="shared" si="44"/>
        <v>-80</v>
      </c>
      <c r="I128" s="2">
        <f t="shared" si="45"/>
        <v>-249.41176470588232</v>
      </c>
      <c r="M128" s="2">
        <f t="shared" si="46"/>
        <v>117.83196534742949</v>
      </c>
      <c r="N128" s="2">
        <f t="shared" si="47"/>
        <v>0</v>
      </c>
      <c r="O128" s="2">
        <f t="shared" si="48"/>
        <v>117.83196534742949</v>
      </c>
      <c r="P128" s="2">
        <f t="shared" si="49"/>
        <v>0</v>
      </c>
      <c r="Q128" s="1">
        <f t="shared" si="54"/>
        <v>13.859798475902375</v>
      </c>
      <c r="R128" s="1">
        <f t="shared" si="55"/>
        <v>5.2848078003363126</v>
      </c>
    </row>
    <row r="129" spans="1:18" x14ac:dyDescent="0.35">
      <c r="A129" s="1">
        <v>121</v>
      </c>
      <c r="B129" s="2">
        <f t="shared" si="42"/>
        <v>100</v>
      </c>
      <c r="C129" s="2">
        <f t="shared" si="43"/>
        <v>100</v>
      </c>
      <c r="D129" s="2">
        <f t="shared" si="50"/>
        <v>1.0485841119827968</v>
      </c>
      <c r="E129" s="2" t="e">
        <f t="shared" si="51"/>
        <v>#DIV/0!</v>
      </c>
      <c r="F129" s="2">
        <f t="shared" si="52"/>
        <v>3.2597439458451921E-2</v>
      </c>
      <c r="G129" s="2" t="e">
        <f t="shared" si="53"/>
        <v>#NUM!</v>
      </c>
      <c r="H129" s="2">
        <f t="shared" si="44"/>
        <v>-83</v>
      </c>
      <c r="I129" s="2">
        <f t="shared" si="45"/>
        <v>-253.82352941176464</v>
      </c>
      <c r="M129" s="2">
        <f t="shared" si="46"/>
        <v>118.715337982878</v>
      </c>
      <c r="N129" s="2">
        <f t="shared" si="47"/>
        <v>0</v>
      </c>
      <c r="O129" s="2">
        <f t="shared" si="48"/>
        <v>118.715337982878</v>
      </c>
      <c r="P129" s="2">
        <f t="shared" si="49"/>
        <v>0</v>
      </c>
      <c r="Q129" s="1">
        <f t="shared" si="54"/>
        <v>13.620349589648074</v>
      </c>
      <c r="R129" s="1">
        <f t="shared" si="55"/>
        <v>5.1935047886757353</v>
      </c>
    </row>
    <row r="130" spans="1:18" x14ac:dyDescent="0.35">
      <c r="A130" s="1">
        <v>122</v>
      </c>
      <c r="B130" s="2">
        <f t="shared" si="42"/>
        <v>100</v>
      </c>
      <c r="C130" s="2">
        <f t="shared" si="43"/>
        <v>100</v>
      </c>
      <c r="D130" s="2">
        <f t="shared" si="50"/>
        <v>0.97371784629599478</v>
      </c>
      <c r="E130" s="2" t="e">
        <f t="shared" si="51"/>
        <v>#DIV/0!</v>
      </c>
      <c r="F130" s="2">
        <f t="shared" si="52"/>
        <v>3.0270064348227193E-2</v>
      </c>
      <c r="G130" s="2" t="e">
        <f t="shared" si="53"/>
        <v>#NUM!</v>
      </c>
      <c r="H130" s="2">
        <f t="shared" si="44"/>
        <v>-86</v>
      </c>
      <c r="I130" s="2">
        <f t="shared" si="45"/>
        <v>-258.23529411764696</v>
      </c>
      <c r="M130" s="2">
        <f t="shared" si="46"/>
        <v>119.59798085117254</v>
      </c>
      <c r="N130" s="2">
        <f t="shared" si="47"/>
        <v>0</v>
      </c>
      <c r="O130" s="2">
        <f t="shared" si="48"/>
        <v>119.59798085117254</v>
      </c>
      <c r="P130" s="2">
        <f t="shared" si="49"/>
        <v>0</v>
      </c>
      <c r="Q130" s="1">
        <f t="shared" si="54"/>
        <v>13.386957600447001</v>
      </c>
      <c r="R130" s="1">
        <f t="shared" si="55"/>
        <v>5.1045113009846679</v>
      </c>
    </row>
    <row r="131" spans="1:18" x14ac:dyDescent="0.35">
      <c r="A131" s="1">
        <v>123</v>
      </c>
      <c r="B131" s="2">
        <f t="shared" si="42"/>
        <v>100</v>
      </c>
      <c r="C131" s="2">
        <f t="shared" si="43"/>
        <v>100</v>
      </c>
      <c r="D131" s="2">
        <f t="shared" si="50"/>
        <v>0.90474377348809831</v>
      </c>
      <c r="E131" s="2" t="e">
        <f t="shared" si="51"/>
        <v>#DIV/0!</v>
      </c>
      <c r="F131" s="2">
        <f t="shared" si="52"/>
        <v>2.812586042899487E-2</v>
      </c>
      <c r="G131" s="2" t="e">
        <f t="shared" si="53"/>
        <v>#NUM!</v>
      </c>
      <c r="H131" s="2">
        <f t="shared" si="44"/>
        <v>-89</v>
      </c>
      <c r="I131" s="2">
        <f t="shared" si="45"/>
        <v>-262.64705882352939</v>
      </c>
      <c r="M131" s="2">
        <f t="shared" si="46"/>
        <v>120.47990052963273</v>
      </c>
      <c r="N131" s="2">
        <f t="shared" si="47"/>
        <v>0</v>
      </c>
      <c r="O131" s="2">
        <f t="shared" si="48"/>
        <v>120.47990052963273</v>
      </c>
      <c r="P131" s="2">
        <f t="shared" si="49"/>
        <v>0</v>
      </c>
      <c r="Q131" s="1">
        <f t="shared" si="54"/>
        <v>13.159421516761226</v>
      </c>
      <c r="R131" s="1">
        <f t="shared" si="55"/>
        <v>5.0177506982232902</v>
      </c>
    </row>
    <row r="132" spans="1:18" x14ac:dyDescent="0.35">
      <c r="A132" s="1">
        <v>124</v>
      </c>
      <c r="B132" s="2">
        <f t="shared" si="42"/>
        <v>100</v>
      </c>
      <c r="C132" s="2">
        <f t="shared" si="43"/>
        <v>100</v>
      </c>
      <c r="D132" s="2">
        <f t="shared" si="50"/>
        <v>0.84115579145263875</v>
      </c>
      <c r="E132" s="2" t="e">
        <f t="shared" si="51"/>
        <v>#DIV/0!</v>
      </c>
      <c r="F132" s="2">
        <f t="shared" si="52"/>
        <v>2.6149094453810955E-2</v>
      </c>
      <c r="G132" s="2" t="e">
        <f t="shared" si="53"/>
        <v>#NUM!</v>
      </c>
      <c r="H132" s="2">
        <f t="shared" si="44"/>
        <v>-92</v>
      </c>
      <c r="I132" s="2">
        <f t="shared" si="45"/>
        <v>-267.05882352941171</v>
      </c>
      <c r="M132" s="2">
        <f t="shared" si="46"/>
        <v>121.36110348332481</v>
      </c>
      <c r="N132" s="2">
        <f t="shared" si="47"/>
        <v>0</v>
      </c>
      <c r="O132" s="2">
        <f t="shared" si="48"/>
        <v>121.36110348332481</v>
      </c>
      <c r="P132" s="2">
        <f t="shared" si="49"/>
        <v>0</v>
      </c>
      <c r="Q132" s="1">
        <f t="shared" si="54"/>
        <v>12.937548576832912</v>
      </c>
      <c r="R132" s="1">
        <f t="shared" si="55"/>
        <v>4.9331494794064792</v>
      </c>
    </row>
    <row r="133" spans="1:18" x14ac:dyDescent="0.35">
      <c r="A133" s="1">
        <v>125</v>
      </c>
      <c r="B133" s="2">
        <f t="shared" si="42"/>
        <v>100</v>
      </c>
      <c r="C133" s="2">
        <f t="shared" si="43"/>
        <v>100</v>
      </c>
      <c r="D133" s="2">
        <f t="shared" si="50"/>
        <v>0.78249485164593369</v>
      </c>
      <c r="E133" s="2" t="e">
        <f t="shared" si="51"/>
        <v>#DIV/0!</v>
      </c>
      <c r="F133" s="2">
        <f t="shared" si="52"/>
        <v>2.4325495934557094E-2</v>
      </c>
      <c r="G133" s="2" t="e">
        <f t="shared" si="53"/>
        <v>#NUM!</v>
      </c>
      <c r="H133" s="2">
        <f t="shared" si="44"/>
        <v>-95</v>
      </c>
      <c r="I133" s="2">
        <f t="shared" si="45"/>
        <v>-271.47058823529403</v>
      </c>
      <c r="M133" s="2">
        <f t="shared" si="46"/>
        <v>122.24159606786614</v>
      </c>
      <c r="N133" s="2">
        <f t="shared" si="47"/>
        <v>0</v>
      </c>
      <c r="O133" s="2">
        <f t="shared" si="48"/>
        <v>122.24159606786614</v>
      </c>
      <c r="P133" s="2">
        <f t="shared" si="49"/>
        <v>0</v>
      </c>
      <c r="Q133" s="1">
        <f t="shared" si="54"/>
        <v>12.721153848847509</v>
      </c>
      <c r="R133" s="1">
        <f t="shared" si="55"/>
        <v>4.850637129144153</v>
      </c>
    </row>
    <row r="134" spans="1:18" x14ac:dyDescent="0.35">
      <c r="A134" s="1">
        <v>126</v>
      </c>
      <c r="B134" s="2">
        <f t="shared" si="42"/>
        <v>100</v>
      </c>
      <c r="C134" s="2">
        <f t="shared" si="43"/>
        <v>100</v>
      </c>
      <c r="D134" s="2">
        <f t="shared" si="50"/>
        <v>0.7283442564649707</v>
      </c>
      <c r="E134" s="2" t="e">
        <f t="shared" si="51"/>
        <v>#DIV/0!</v>
      </c>
      <c r="F134" s="2">
        <f t="shared" si="52"/>
        <v>2.2642110951055113E-2</v>
      </c>
      <c r="G134" s="2" t="e">
        <f t="shared" si="53"/>
        <v>#NUM!</v>
      </c>
      <c r="H134" s="2">
        <f t="shared" si="44"/>
        <v>-98</v>
      </c>
      <c r="I134" s="2">
        <f t="shared" si="45"/>
        <v>-275.88235294117635</v>
      </c>
      <c r="M134" s="2">
        <f t="shared" si="46"/>
        <v>123.12138453213906</v>
      </c>
      <c r="N134" s="2">
        <f t="shared" si="47"/>
        <v>0</v>
      </c>
      <c r="O134" s="2">
        <f t="shared" si="48"/>
        <v>123.12138453213906</v>
      </c>
      <c r="P134" s="2">
        <f t="shared" si="49"/>
        <v>0</v>
      </c>
      <c r="Q134" s="1">
        <f t="shared" si="54"/>
        <v>12.510059853528112</v>
      </c>
      <c r="R134" s="1">
        <f t="shared" si="55"/>
        <v>4.7701459737346621</v>
      </c>
    </row>
    <row r="135" spans="1:18" x14ac:dyDescent="0.35">
      <c r="A135" s="1">
        <v>127</v>
      </c>
      <c r="B135" s="2">
        <f t="shared" si="42"/>
        <v>100</v>
      </c>
      <c r="C135" s="2">
        <f t="shared" si="43"/>
        <v>100</v>
      </c>
      <c r="D135" s="2">
        <f t="shared" si="50"/>
        <v>0.67832545888633977</v>
      </c>
      <c r="E135" s="2" t="e">
        <f t="shared" si="51"/>
        <v>#DIV/0!</v>
      </c>
      <c r="F135" s="2">
        <f t="shared" si="52"/>
        <v>2.1087171574021416E-2</v>
      </c>
      <c r="G135" s="2" t="e">
        <f t="shared" si="53"/>
        <v>#NUM!</v>
      </c>
      <c r="H135" s="2">
        <f t="shared" si="44"/>
        <v>-101</v>
      </c>
      <c r="I135" s="2">
        <f t="shared" si="45"/>
        <v>-280.29411764705878</v>
      </c>
      <c r="M135" s="2">
        <f t="shared" si="46"/>
        <v>124.00047502091641</v>
      </c>
      <c r="N135" s="2">
        <f t="shared" si="47"/>
        <v>0</v>
      </c>
      <c r="O135" s="2">
        <f t="shared" si="48"/>
        <v>124.00047502091641</v>
      </c>
      <c r="P135" s="2">
        <f t="shared" si="49"/>
        <v>0</v>
      </c>
      <c r="Q135" s="1">
        <f t="shared" si="54"/>
        <v>12.304096207737048</v>
      </c>
      <c r="R135" s="1">
        <f t="shared" si="55"/>
        <v>4.6916110452683641</v>
      </c>
    </row>
    <row r="136" spans="1:18" x14ac:dyDescent="0.35">
      <c r="A136" s="1">
        <v>128</v>
      </c>
      <c r="B136" s="2">
        <f t="shared" ref="B136:B158" si="56">(alpha0*(1-beta0)*$A136*SCapital0)/(alpha0*(1-beta0)*$A136+beta0*(1-alpha0)*MAX(SLab0-$A136,0))</f>
        <v>100</v>
      </c>
      <c r="C136" s="2">
        <f t="shared" ref="C136:C158" si="57">(alpha1*(1-beta1)*$A136*SCapital1)/(alpha1*(1-beta1)*$A136+beta1*(1-alpha1)*MAX(SLab1-$A136,0))</f>
        <v>100</v>
      </c>
      <c r="D136" s="2">
        <f t="shared" si="50"/>
        <v>0.63209430732820393</v>
      </c>
      <c r="E136" s="2" t="e">
        <f t="shared" si="51"/>
        <v>#DIV/0!</v>
      </c>
      <c r="F136" s="2">
        <f t="shared" si="52"/>
        <v>1.9649979128714169E-2</v>
      </c>
      <c r="G136" s="2" t="e">
        <f t="shared" si="53"/>
        <v>#NUM!</v>
      </c>
      <c r="H136" s="2">
        <f t="shared" ref="H136:H158" si="58">interc0-mrt0*A136</f>
        <v>-104</v>
      </c>
      <c r="I136" s="2">
        <f t="shared" ref="I136:I158" si="59">interc1-mrts1*A136</f>
        <v>-284.7058823529411</v>
      </c>
      <c r="M136" s="2">
        <f t="shared" ref="M136:M158" si="60">TechA0*(B136^alpha0)*(A136^(1-alpha0))</f>
        <v>124.87887357740087</v>
      </c>
      <c r="N136" s="2">
        <f t="shared" ref="N136:N158" si="61">TechB0*(MAX(SCapital0-B136,0)^beta0)*(MAX(SLab0-A136,0)^(1-beta0))</f>
        <v>0</v>
      </c>
      <c r="O136" s="2">
        <f t="shared" ref="O136:O158" si="62">TechA1*(C136^alpha1)*(A136^(1-alpha1))</f>
        <v>124.87887357740087</v>
      </c>
      <c r="P136" s="2">
        <f t="shared" ref="P136:P158" si="63">TechB1*(MAX(SCapital1-C136,0)^beta1)*(MAX(SLab1-A136,0)^(1-beta1))</f>
        <v>0</v>
      </c>
      <c r="Q136" s="1">
        <f t="shared" si="54"/>
        <v>12.103099287761122</v>
      </c>
      <c r="R136" s="1">
        <f t="shared" si="55"/>
        <v>4.6149699532366704</v>
      </c>
    </row>
    <row r="137" spans="1:18" x14ac:dyDescent="0.35">
      <c r="A137" s="1">
        <v>129</v>
      </c>
      <c r="B137" s="2">
        <f t="shared" si="56"/>
        <v>100</v>
      </c>
      <c r="C137" s="2">
        <f t="shared" si="57"/>
        <v>100</v>
      </c>
      <c r="D137" s="2">
        <f t="shared" ref="D137:D158" si="64">(X1e0/(TechA0*($A137^(1-alpha0))))^(1/alpha0)</f>
        <v>0.5893376855540482</v>
      </c>
      <c r="E137" s="2" t="e">
        <f t="shared" ref="E137:E158" si="65">SCapital0-(X2e0/(TechB0*(MAX(SLab0-$A137,0)^(1-beta0))))^(1/beta0)</f>
        <v>#DIV/0!</v>
      </c>
      <c r="F137" s="2">
        <f t="shared" ref="F137:F158" si="66">(X1e1/(TechA1*($A137^(1-alpha1))))^(1/alpha1)</f>
        <v>1.832079973928448E-2</v>
      </c>
      <c r="G137" s="2" t="e">
        <f t="shared" ref="G137:G158" si="67">SCapital1-(X2e1/(TechB1*((SLab1-$A137)^(1-beta1))))^(1/beta1)</f>
        <v>#NUM!</v>
      </c>
      <c r="H137" s="2">
        <f t="shared" si="58"/>
        <v>-107</v>
      </c>
      <c r="I137" s="2">
        <f t="shared" si="59"/>
        <v>-289.11764705882342</v>
      </c>
      <c r="M137" s="2">
        <f t="shared" si="60"/>
        <v>125.75658614568496</v>
      </c>
      <c r="N137" s="2">
        <f t="shared" si="61"/>
        <v>0</v>
      </c>
      <c r="O137" s="2">
        <f t="shared" si="62"/>
        <v>125.75658614568496</v>
      </c>
      <c r="P137" s="2">
        <f t="shared" si="63"/>
        <v>0</v>
      </c>
      <c r="Q137" s="1">
        <f t="shared" ref="Q137:Q158" si="68">(util0/(M137^gamma0))^(1/(1-gamma0))</f>
        <v>11.906911911049283</v>
      </c>
      <c r="R137" s="1">
        <f t="shared" ref="R137:R158" si="69">(util1/(O137^gamma1))^(1/(1-gamma1))</f>
        <v>4.5401627631770936</v>
      </c>
    </row>
    <row r="138" spans="1:18" x14ac:dyDescent="0.35">
      <c r="A138" s="1">
        <v>130</v>
      </c>
      <c r="B138" s="2">
        <f t="shared" si="56"/>
        <v>100</v>
      </c>
      <c r="C138" s="2">
        <f t="shared" si="57"/>
        <v>100</v>
      </c>
      <c r="D138" s="2">
        <f t="shared" si="64"/>
        <v>0.54977050342516165</v>
      </c>
      <c r="E138" s="2" t="e">
        <f t="shared" si="65"/>
        <v>#DIV/0!</v>
      </c>
      <c r="F138" s="2">
        <f t="shared" si="66"/>
        <v>1.7090770779996694E-2</v>
      </c>
      <c r="G138" s="2" t="e">
        <f t="shared" si="67"/>
        <v>#NUM!</v>
      </c>
      <c r="H138" s="2">
        <f t="shared" si="58"/>
        <v>-110</v>
      </c>
      <c r="I138" s="2">
        <f t="shared" si="59"/>
        <v>-293.52941176470586</v>
      </c>
      <c r="M138" s="2">
        <f t="shared" si="60"/>
        <v>126.63361857313114</v>
      </c>
      <c r="N138" s="2">
        <f t="shared" si="61"/>
        <v>0</v>
      </c>
      <c r="O138" s="2">
        <f t="shared" si="62"/>
        <v>126.63361857313114</v>
      </c>
      <c r="P138" s="2">
        <f t="shared" si="63"/>
        <v>0</v>
      </c>
      <c r="Q138" s="1">
        <f t="shared" si="68"/>
        <v>11.715383035258872</v>
      </c>
      <c r="R138" s="1">
        <f t="shared" si="69"/>
        <v>4.4671318819181272</v>
      </c>
    </row>
    <row r="139" spans="1:18" x14ac:dyDescent="0.35">
      <c r="A139" s="1">
        <v>131</v>
      </c>
      <c r="B139" s="2">
        <f t="shared" si="56"/>
        <v>100</v>
      </c>
      <c r="C139" s="2">
        <f t="shared" si="57"/>
        <v>100</v>
      </c>
      <c r="D139" s="2">
        <f t="shared" si="64"/>
        <v>0.51313299954261427</v>
      </c>
      <c r="E139" s="2" t="e">
        <f t="shared" si="65"/>
        <v>#DIV/0!</v>
      </c>
      <c r="F139" s="2">
        <f t="shared" si="66"/>
        <v>1.5951817022189101E-2</v>
      </c>
      <c r="G139" s="2" t="e">
        <f t="shared" si="67"/>
        <v>#NUM!</v>
      </c>
      <c r="H139" s="2">
        <f t="shared" si="58"/>
        <v>-113</v>
      </c>
      <c r="I139" s="2">
        <f t="shared" si="59"/>
        <v>-297.94117647058818</v>
      </c>
      <c r="M139" s="2">
        <f t="shared" si="60"/>
        <v>127.50997661267837</v>
      </c>
      <c r="N139" s="2">
        <f t="shared" si="61"/>
        <v>0</v>
      </c>
      <c r="O139" s="2">
        <f t="shared" si="62"/>
        <v>127.50997661267837</v>
      </c>
      <c r="P139" s="2">
        <f t="shared" si="63"/>
        <v>0</v>
      </c>
      <c r="Q139" s="1">
        <f t="shared" si="68"/>
        <v>11.528367473543609</v>
      </c>
      <c r="R139" s="1">
        <f t="shared" si="69"/>
        <v>4.3958219490171926</v>
      </c>
    </row>
    <row r="140" spans="1:18" x14ac:dyDescent="0.35">
      <c r="A140" s="1">
        <v>132</v>
      </c>
      <c r="B140" s="2">
        <f t="shared" si="56"/>
        <v>100</v>
      </c>
      <c r="C140" s="2">
        <f t="shared" si="57"/>
        <v>100</v>
      </c>
      <c r="D140" s="2">
        <f t="shared" si="64"/>
        <v>0.4791883214002986</v>
      </c>
      <c r="E140" s="2" t="e">
        <f t="shared" si="65"/>
        <v>#DIV/0!</v>
      </c>
      <c r="F140" s="2">
        <f t="shared" si="66"/>
        <v>1.4896575408248899E-2</v>
      </c>
      <c r="G140" s="2" t="e">
        <f t="shared" si="67"/>
        <v>#NUM!</v>
      </c>
      <c r="H140" s="2">
        <f t="shared" si="58"/>
        <v>-116</v>
      </c>
      <c r="I140" s="2">
        <f t="shared" si="59"/>
        <v>-302.35294117647049</v>
      </c>
      <c r="M140" s="2">
        <f t="shared" si="60"/>
        <v>128.38566592507522</v>
      </c>
      <c r="N140" s="2">
        <f t="shared" si="61"/>
        <v>0</v>
      </c>
      <c r="O140" s="2">
        <f t="shared" si="62"/>
        <v>128.38566592507522</v>
      </c>
      <c r="P140" s="2">
        <f t="shared" si="63"/>
        <v>0</v>
      </c>
      <c r="Q140" s="1">
        <f t="shared" si="68"/>
        <v>11.345725625091912</v>
      </c>
      <c r="R140" s="1">
        <f t="shared" si="69"/>
        <v>4.3261797340135892</v>
      </c>
    </row>
    <row r="141" spans="1:18" x14ac:dyDescent="0.35">
      <c r="A141" s="1">
        <v>133</v>
      </c>
      <c r="B141" s="2">
        <f t="shared" si="56"/>
        <v>100</v>
      </c>
      <c r="C141" s="2">
        <f t="shared" si="57"/>
        <v>100</v>
      </c>
      <c r="D141" s="2">
        <f t="shared" si="64"/>
        <v>0.44772035268275429</v>
      </c>
      <c r="E141" s="2" t="e">
        <f t="shared" si="65"/>
        <v>#DIV/0!</v>
      </c>
      <c r="F141" s="2">
        <f t="shared" si="66"/>
        <v>1.3918327508601681E-2</v>
      </c>
      <c r="G141" s="2" t="e">
        <f t="shared" si="67"/>
        <v>#NUM!</v>
      </c>
      <c r="H141" s="2">
        <f t="shared" si="58"/>
        <v>-119</v>
      </c>
      <c r="I141" s="2">
        <f t="shared" si="59"/>
        <v>-306.76470588235281</v>
      </c>
      <c r="M141" s="2">
        <f t="shared" si="60"/>
        <v>129.26069208104462</v>
      </c>
      <c r="N141" s="2">
        <f t="shared" si="61"/>
        <v>0</v>
      </c>
      <c r="O141" s="2">
        <f t="shared" si="62"/>
        <v>129.26069208104462</v>
      </c>
      <c r="P141" s="2">
        <f t="shared" si="63"/>
        <v>0</v>
      </c>
      <c r="Q141" s="1">
        <f t="shared" si="68"/>
        <v>11.167323219989729</v>
      </c>
      <c r="R141" s="1">
        <f t="shared" si="69"/>
        <v>4.2581540391434967</v>
      </c>
    </row>
    <row r="142" spans="1:18" x14ac:dyDescent="0.35">
      <c r="A142" s="1">
        <v>134</v>
      </c>
      <c r="B142" s="2">
        <f t="shared" si="56"/>
        <v>100</v>
      </c>
      <c r="C142" s="2">
        <f t="shared" si="57"/>
        <v>100</v>
      </c>
      <c r="D142" s="2">
        <f t="shared" si="64"/>
        <v>0.41853176086021204</v>
      </c>
      <c r="E142" s="2" t="e">
        <f t="shared" si="65"/>
        <v>#DIV/0!</v>
      </c>
      <c r="F142" s="2">
        <f t="shared" si="66"/>
        <v>1.3010938827102768E-2</v>
      </c>
      <c r="G142" s="2" t="e">
        <f t="shared" si="67"/>
        <v>#NUM!</v>
      </c>
      <c r="H142" s="2">
        <f t="shared" si="58"/>
        <v>-122</v>
      </c>
      <c r="I142" s="2">
        <f t="shared" si="59"/>
        <v>-311.17647058823525</v>
      </c>
      <c r="M142" s="2">
        <f t="shared" si="60"/>
        <v>130.13506056338113</v>
      </c>
      <c r="N142" s="2">
        <f t="shared" si="61"/>
        <v>0</v>
      </c>
      <c r="O142" s="2">
        <f t="shared" si="62"/>
        <v>130.13506056338113</v>
      </c>
      <c r="P142" s="2">
        <f t="shared" si="63"/>
        <v>0</v>
      </c>
      <c r="Q142" s="1">
        <f t="shared" si="68"/>
        <v>10.993031077546512</v>
      </c>
      <c r="R142" s="1">
        <f t="shared" si="69"/>
        <v>4.1916956071884588</v>
      </c>
    </row>
    <row r="143" spans="1:18" x14ac:dyDescent="0.35">
      <c r="A143" s="1">
        <v>135</v>
      </c>
      <c r="B143" s="2">
        <f t="shared" si="56"/>
        <v>100</v>
      </c>
      <c r="C143" s="2">
        <f t="shared" si="57"/>
        <v>100</v>
      </c>
      <c r="D143" s="2">
        <f t="shared" si="64"/>
        <v>0.39144224132156408</v>
      </c>
      <c r="E143" s="2" t="e">
        <f t="shared" si="65"/>
        <v>#DIV/0!</v>
      </c>
      <c r="F143" s="2">
        <f t="shared" si="66"/>
        <v>1.2168804216222731E-2</v>
      </c>
      <c r="G143" s="2" t="e">
        <f t="shared" si="67"/>
        <v>#NUM!</v>
      </c>
      <c r="H143" s="2">
        <f t="shared" si="58"/>
        <v>-125</v>
      </c>
      <c r="I143" s="2">
        <f t="shared" si="59"/>
        <v>-315.58823529411757</v>
      </c>
      <c r="M143" s="2">
        <f t="shared" si="60"/>
        <v>131.00877676898492</v>
      </c>
      <c r="N143" s="2">
        <f t="shared" si="61"/>
        <v>0</v>
      </c>
      <c r="O143" s="2">
        <f t="shared" si="62"/>
        <v>131.00877676898492</v>
      </c>
      <c r="P143" s="2">
        <f t="shared" si="63"/>
        <v>0</v>
      </c>
      <c r="Q143" s="1">
        <f t="shared" si="68"/>
        <v>10.822724877278755</v>
      </c>
      <c r="R143" s="1">
        <f t="shared" si="69"/>
        <v>4.1267570341503648</v>
      </c>
    </row>
    <row r="144" spans="1:18" x14ac:dyDescent="0.35">
      <c r="A144" s="1">
        <v>136</v>
      </c>
      <c r="B144" s="2">
        <f t="shared" si="56"/>
        <v>100</v>
      </c>
      <c r="C144" s="2">
        <f t="shared" si="57"/>
        <v>100</v>
      </c>
      <c r="D144" s="2">
        <f t="shared" si="64"/>
        <v>0.36628693699981202</v>
      </c>
      <c r="E144" s="2" t="e">
        <f t="shared" si="65"/>
        <v>#DIV/0!</v>
      </c>
      <c r="F144" s="2">
        <f t="shared" si="66"/>
        <v>1.1386798747785204E-2</v>
      </c>
      <c r="G144" s="2" t="e">
        <f t="shared" si="67"/>
        <v>#NUM!</v>
      </c>
      <c r="H144" s="2">
        <f t="shared" si="58"/>
        <v>-128</v>
      </c>
      <c r="I144" s="2">
        <f t="shared" si="59"/>
        <v>-319.99999999999989</v>
      </c>
      <c r="M144" s="2">
        <f t="shared" si="60"/>
        <v>131.88184601083273</v>
      </c>
      <c r="N144" s="2">
        <f t="shared" si="61"/>
        <v>0</v>
      </c>
      <c r="O144" s="2">
        <f t="shared" si="62"/>
        <v>131.88184601083273</v>
      </c>
      <c r="P144" s="2">
        <f t="shared" si="63"/>
        <v>0</v>
      </c>
      <c r="Q144" s="1">
        <f t="shared" si="68"/>
        <v>10.656284941801536</v>
      </c>
      <c r="R144" s="1">
        <f t="shared" si="69"/>
        <v>4.0632926864668972</v>
      </c>
    </row>
    <row r="145" spans="1:18" x14ac:dyDescent="0.35">
      <c r="A145" s="1">
        <v>137</v>
      </c>
      <c r="B145" s="2">
        <f t="shared" si="56"/>
        <v>100</v>
      </c>
      <c r="C145" s="2">
        <f t="shared" si="57"/>
        <v>100</v>
      </c>
      <c r="D145" s="2">
        <f t="shared" si="64"/>
        <v>0.34291501483107045</v>
      </c>
      <c r="E145" s="2" t="e">
        <f t="shared" si="65"/>
        <v>#DIV/0!</v>
      </c>
      <c r="F145" s="2">
        <f t="shared" si="66"/>
        <v>1.0660233459205193E-2</v>
      </c>
      <c r="G145" s="2" t="e">
        <f t="shared" si="67"/>
        <v>#NUM!</v>
      </c>
      <c r="H145" s="2">
        <f t="shared" si="58"/>
        <v>-131</v>
      </c>
      <c r="I145" s="2">
        <f t="shared" si="59"/>
        <v>-324.41176470588232</v>
      </c>
      <c r="M145" s="2">
        <f t="shared" si="60"/>
        <v>132.75427351989092</v>
      </c>
      <c r="N145" s="2">
        <f t="shared" si="61"/>
        <v>0</v>
      </c>
      <c r="O145" s="2">
        <f t="shared" si="62"/>
        <v>132.75427351989092</v>
      </c>
      <c r="P145" s="2">
        <f t="shared" si="63"/>
        <v>0</v>
      </c>
      <c r="Q145" s="1">
        <f t="shared" si="68"/>
        <v>10.493596030925632</v>
      </c>
      <c r="R145" s="1">
        <f t="shared" si="69"/>
        <v>4.0012586224997992</v>
      </c>
    </row>
    <row r="146" spans="1:18" x14ac:dyDescent="0.35">
      <c r="A146" s="1">
        <v>138</v>
      </c>
      <c r="B146" s="2">
        <f t="shared" si="56"/>
        <v>100</v>
      </c>
      <c r="C146" s="2">
        <f t="shared" si="57"/>
        <v>100</v>
      </c>
      <c r="D146" s="2">
        <f t="shared" si="64"/>
        <v>0.32118838248952003</v>
      </c>
      <c r="E146" s="2" t="e">
        <f t="shared" si="65"/>
        <v>#DIV/0!</v>
      </c>
      <c r="F146" s="2">
        <f t="shared" si="66"/>
        <v>9.9848154604997557E-3</v>
      </c>
      <c r="G146" s="2" t="e">
        <f t="shared" si="67"/>
        <v>#NUM!</v>
      </c>
      <c r="H146" s="2">
        <f t="shared" si="58"/>
        <v>-134</v>
      </c>
      <c r="I146" s="2">
        <f t="shared" si="59"/>
        <v>-328.82352941176464</v>
      </c>
      <c r="M146" s="2">
        <f t="shared" si="60"/>
        <v>133.62606444697033</v>
      </c>
      <c r="N146" s="2">
        <f t="shared" si="61"/>
        <v>0</v>
      </c>
      <c r="O146" s="2">
        <f t="shared" si="62"/>
        <v>133.62606444697033</v>
      </c>
      <c r="P146" s="2">
        <f t="shared" si="63"/>
        <v>0</v>
      </c>
      <c r="Q146" s="1">
        <f t="shared" si="68"/>
        <v>10.334547146306107</v>
      </c>
      <c r="R146" s="1">
        <f t="shared" si="69"/>
        <v>3.9406125180464411</v>
      </c>
    </row>
    <row r="147" spans="1:18" x14ac:dyDescent="0.35">
      <c r="A147" s="1">
        <v>139</v>
      </c>
      <c r="B147" s="2">
        <f t="shared" si="56"/>
        <v>100</v>
      </c>
      <c r="C147" s="2">
        <f t="shared" si="57"/>
        <v>100</v>
      </c>
      <c r="D147" s="2">
        <f t="shared" si="64"/>
        <v>0.3009805306921251</v>
      </c>
      <c r="E147" s="2" t="e">
        <f t="shared" si="65"/>
        <v>#DIV/0!</v>
      </c>
      <c r="F147" s="2">
        <f t="shared" si="66"/>
        <v>9.3566119448987555E-3</v>
      </c>
      <c r="G147" s="2" t="e">
        <f t="shared" si="67"/>
        <v>#NUM!</v>
      </c>
      <c r="H147" s="2">
        <f t="shared" si="58"/>
        <v>-137</v>
      </c>
      <c r="I147" s="2">
        <f t="shared" si="59"/>
        <v>-333.23529411764696</v>
      </c>
      <c r="M147" s="2">
        <f t="shared" si="60"/>
        <v>134.49722386452603</v>
      </c>
      <c r="N147" s="2">
        <f t="shared" si="61"/>
        <v>0</v>
      </c>
      <c r="O147" s="2">
        <f t="shared" si="62"/>
        <v>134.49722386452603</v>
      </c>
      <c r="P147" s="2">
        <f t="shared" si="63"/>
        <v>0</v>
      </c>
      <c r="Q147" s="1">
        <f t="shared" si="68"/>
        <v>10.179031346029465</v>
      </c>
      <c r="R147" s="1">
        <f t="shared" si="69"/>
        <v>3.8813135956410036</v>
      </c>
    </row>
    <row r="148" spans="1:18" x14ac:dyDescent="0.35">
      <c r="A148" s="1">
        <v>140</v>
      </c>
      <c r="B148" s="2">
        <f t="shared" si="56"/>
        <v>100</v>
      </c>
      <c r="C148" s="2">
        <f t="shared" si="57"/>
        <v>100</v>
      </c>
      <c r="D148" s="2">
        <f t="shared" si="64"/>
        <v>0.2821754879999997</v>
      </c>
      <c r="E148" s="2" t="e">
        <f t="shared" si="65"/>
        <v>#DIV/0!</v>
      </c>
      <c r="F148" s="2">
        <f t="shared" si="66"/>
        <v>8.7720176966500051E-3</v>
      </c>
      <c r="G148" s="2" t="e">
        <f t="shared" si="67"/>
        <v>#NUM!</v>
      </c>
      <c r="H148" s="2">
        <f t="shared" si="58"/>
        <v>-140</v>
      </c>
      <c r="I148" s="2">
        <f t="shared" si="59"/>
        <v>-337.64705882352928</v>
      </c>
      <c r="M148" s="2">
        <f t="shared" si="60"/>
        <v>135.36775676840486</v>
      </c>
      <c r="N148" s="2">
        <f t="shared" si="61"/>
        <v>0</v>
      </c>
      <c r="O148" s="2">
        <f t="shared" si="62"/>
        <v>135.36775676840486</v>
      </c>
      <c r="P148" s="2">
        <f t="shared" si="63"/>
        <v>0</v>
      </c>
      <c r="Q148" s="1">
        <f t="shared" si="68"/>
        <v>10.026945568566571</v>
      </c>
      <c r="R148" s="1">
        <f t="shared" si="69"/>
        <v>3.8233225574268808</v>
      </c>
    </row>
    <row r="149" spans="1:18" x14ac:dyDescent="0.35">
      <c r="A149" s="1">
        <v>141</v>
      </c>
      <c r="B149" s="2">
        <f t="shared" si="56"/>
        <v>100</v>
      </c>
      <c r="C149" s="2">
        <f t="shared" si="57"/>
        <v>100</v>
      </c>
      <c r="D149" s="2">
        <f t="shared" si="64"/>
        <v>0.26466687648511833</v>
      </c>
      <c r="E149" s="2" t="e">
        <f t="shared" si="65"/>
        <v>#DIV/0!</v>
      </c>
      <c r="F149" s="2">
        <f t="shared" si="66"/>
        <v>8.2277257344356668E-3</v>
      </c>
      <c r="G149" s="2" t="e">
        <f t="shared" si="67"/>
        <v>#NUM!</v>
      </c>
      <c r="H149" s="2">
        <f t="shared" si="58"/>
        <v>-143</v>
      </c>
      <c r="I149" s="2">
        <f t="shared" si="59"/>
        <v>-342.05882352941171</v>
      </c>
      <c r="M149" s="2">
        <f t="shared" si="60"/>
        <v>136.2376680795405</v>
      </c>
      <c r="N149" s="2">
        <f t="shared" si="61"/>
        <v>0</v>
      </c>
      <c r="O149" s="2">
        <f t="shared" si="62"/>
        <v>136.2376680795405</v>
      </c>
      <c r="P149" s="2">
        <f t="shared" si="63"/>
        <v>0</v>
      </c>
      <c r="Q149" s="1">
        <f t="shared" si="68"/>
        <v>9.878190465555873</v>
      </c>
      <c r="R149" s="1">
        <f t="shared" si="69"/>
        <v>3.7666015213961161</v>
      </c>
    </row>
    <row r="150" spans="1:18" x14ac:dyDescent="0.35">
      <c r="A150" s="1">
        <v>142</v>
      </c>
      <c r="B150" s="2">
        <f t="shared" si="56"/>
        <v>100</v>
      </c>
      <c r="C150" s="2">
        <f t="shared" si="57"/>
        <v>100</v>
      </c>
      <c r="D150" s="2">
        <f t="shared" si="64"/>
        <v>0.2483570579049095</v>
      </c>
      <c r="E150" s="2" t="e">
        <f t="shared" si="65"/>
        <v>#DIV/0!</v>
      </c>
      <c r="F150" s="2">
        <f t="shared" si="66"/>
        <v>7.7207007684161402E-3</v>
      </c>
      <c r="G150" s="2" t="e">
        <f t="shared" si="67"/>
        <v>#NUM!</v>
      </c>
      <c r="H150" s="2">
        <f t="shared" si="58"/>
        <v>-146</v>
      </c>
      <c r="I150" s="2">
        <f t="shared" si="59"/>
        <v>-346.47058823529403</v>
      </c>
      <c r="M150" s="2">
        <f t="shared" si="60"/>
        <v>137.1069626456003</v>
      </c>
      <c r="N150" s="2">
        <f t="shared" si="61"/>
        <v>0</v>
      </c>
      <c r="O150" s="2">
        <f t="shared" si="62"/>
        <v>137.1069626456003</v>
      </c>
      <c r="P150" s="2">
        <f t="shared" si="63"/>
        <v>0</v>
      </c>
      <c r="Q150" s="1">
        <f t="shared" si="68"/>
        <v>9.7326702429146277</v>
      </c>
      <c r="R150" s="1">
        <f t="shared" si="69"/>
        <v>3.7111139608043633</v>
      </c>
    </row>
    <row r="151" spans="1:18" x14ac:dyDescent="0.35">
      <c r="A151" s="1">
        <v>143</v>
      </c>
      <c r="B151" s="2">
        <f t="shared" si="56"/>
        <v>100</v>
      </c>
      <c r="C151" s="2">
        <f t="shared" si="57"/>
        <v>100</v>
      </c>
      <c r="D151" s="2">
        <f t="shared" si="64"/>
        <v>0.23315636115405225</v>
      </c>
      <c r="E151" s="2" t="e">
        <f t="shared" si="65"/>
        <v>#DIV/0!</v>
      </c>
      <c r="F151" s="2">
        <f t="shared" si="66"/>
        <v>7.2481551839466331E-3</v>
      </c>
      <c r="G151" s="2" t="e">
        <f t="shared" si="67"/>
        <v>#NUM!</v>
      </c>
      <c r="H151" s="2">
        <f t="shared" si="58"/>
        <v>-149</v>
      </c>
      <c r="I151" s="2">
        <f t="shared" si="59"/>
        <v>-350.88235294117635</v>
      </c>
      <c r="M151" s="2">
        <f t="shared" si="60"/>
        <v>137.97564524258431</v>
      </c>
      <c r="N151" s="2">
        <f t="shared" si="61"/>
        <v>0</v>
      </c>
      <c r="O151" s="2">
        <f t="shared" si="62"/>
        <v>137.97564524258431</v>
      </c>
      <c r="P151" s="2">
        <f t="shared" si="63"/>
        <v>0</v>
      </c>
      <c r="Q151" s="1">
        <f t="shared" si="68"/>
        <v>9.5902925098086236</v>
      </c>
      <c r="R151" s="1">
        <f t="shared" si="69"/>
        <v>3.6568246465822947</v>
      </c>
    </row>
    <row r="152" spans="1:18" x14ac:dyDescent="0.35">
      <c r="A152" s="1">
        <v>144</v>
      </c>
      <c r="B152" s="2">
        <f t="shared" si="56"/>
        <v>99.999999999999986</v>
      </c>
      <c r="C152" s="2">
        <f t="shared" si="57"/>
        <v>99.999999999999986</v>
      </c>
      <c r="D152" s="2">
        <f t="shared" si="64"/>
        <v>0.21898238276015544</v>
      </c>
      <c r="E152" s="2" t="e">
        <f t="shared" si="65"/>
        <v>#DIV/0!</v>
      </c>
      <c r="F152" s="2">
        <f t="shared" si="66"/>
        <v>6.8075272960161299E-3</v>
      </c>
      <c r="G152" s="2" t="e">
        <f t="shared" si="67"/>
        <v>#NUM!</v>
      </c>
      <c r="H152" s="2">
        <f t="shared" si="58"/>
        <v>-152</v>
      </c>
      <c r="I152" s="2">
        <f t="shared" si="59"/>
        <v>-355.29411764705878</v>
      </c>
      <c r="M152" s="2">
        <f t="shared" si="60"/>
        <v>138.84372057637836</v>
      </c>
      <c r="N152" s="2">
        <f t="shared" si="61"/>
        <v>0</v>
      </c>
      <c r="O152" s="2">
        <f t="shared" si="62"/>
        <v>138.84372057637836</v>
      </c>
      <c r="P152" s="2">
        <f t="shared" si="63"/>
        <v>0</v>
      </c>
      <c r="Q152" s="1">
        <f t="shared" si="68"/>
        <v>9.4509681350398314</v>
      </c>
      <c r="R152" s="1">
        <f t="shared" si="69"/>
        <v>3.6036995925755355</v>
      </c>
    </row>
    <row r="153" spans="1:18" x14ac:dyDescent="0.35">
      <c r="A153" s="1">
        <v>145</v>
      </c>
      <c r="B153" s="2">
        <f t="shared" si="56"/>
        <v>100.00000000000001</v>
      </c>
      <c r="C153" s="2">
        <f t="shared" si="57"/>
        <v>100.00000000000001</v>
      </c>
      <c r="D153" s="2">
        <f t="shared" si="64"/>
        <v>0.2057593530736225</v>
      </c>
      <c r="E153" s="2" t="e">
        <f t="shared" si="65"/>
        <v>#DIV/0!</v>
      </c>
      <c r="F153" s="2">
        <f t="shared" si="66"/>
        <v>6.3964616459282198E-3</v>
      </c>
      <c r="G153" s="2" t="e">
        <f t="shared" si="67"/>
        <v>#NUM!</v>
      </c>
      <c r="H153" s="2">
        <f t="shared" si="58"/>
        <v>-155</v>
      </c>
      <c r="I153" s="2">
        <f t="shared" si="59"/>
        <v>-359.7058823529411</v>
      </c>
      <c r="M153" s="2">
        <f t="shared" si="60"/>
        <v>139.71119328426289</v>
      </c>
      <c r="N153" s="2">
        <f t="shared" si="61"/>
        <v>0</v>
      </c>
      <c r="O153" s="2">
        <f t="shared" si="62"/>
        <v>139.71119328426289</v>
      </c>
      <c r="P153" s="2">
        <f t="shared" si="63"/>
        <v>0</v>
      </c>
      <c r="Q153" s="1">
        <f t="shared" si="68"/>
        <v>9.3146111104394755</v>
      </c>
      <c r="R153" s="1">
        <f t="shared" si="69"/>
        <v>3.5517060034557866</v>
      </c>
    </row>
    <row r="154" spans="1:18" x14ac:dyDescent="0.35">
      <c r="A154" s="1">
        <v>146</v>
      </c>
      <c r="B154" s="2">
        <f t="shared" si="56"/>
        <v>100</v>
      </c>
      <c r="C154" s="2">
        <f t="shared" si="57"/>
        <v>100</v>
      </c>
      <c r="D154" s="2">
        <f t="shared" si="64"/>
        <v>0.19341756158554566</v>
      </c>
      <c r="E154" s="2" t="e">
        <f t="shared" si="65"/>
        <v>#DIV/0!</v>
      </c>
      <c r="F154" s="2">
        <f t="shared" si="66"/>
        <v>6.0127911361007426E-3</v>
      </c>
      <c r="G154" s="2" t="e">
        <f t="shared" si="67"/>
        <v>#NUM!</v>
      </c>
      <c r="H154" s="2">
        <f t="shared" si="58"/>
        <v>-158</v>
      </c>
      <c r="I154" s="2">
        <f t="shared" si="59"/>
        <v>-364.11764705882342</v>
      </c>
      <c r="M154" s="2">
        <f t="shared" si="60"/>
        <v>140.57806793637951</v>
      </c>
      <c r="N154" s="2">
        <f t="shared" si="61"/>
        <v>0</v>
      </c>
      <c r="O154" s="2">
        <f t="shared" si="62"/>
        <v>140.57806793637951</v>
      </c>
      <c r="P154" s="2">
        <f t="shared" si="63"/>
        <v>0</v>
      </c>
      <c r="Q154" s="1">
        <f t="shared" si="68"/>
        <v>9.181138420878888</v>
      </c>
      <c r="R154" s="1">
        <f t="shared" si="69"/>
        <v>3.5008122251553226</v>
      </c>
    </row>
    <row r="155" spans="1:18" x14ac:dyDescent="0.35">
      <c r="A155" s="1">
        <v>147</v>
      </c>
      <c r="B155" s="2">
        <f t="shared" si="56"/>
        <v>100</v>
      </c>
      <c r="C155" s="2">
        <f t="shared" si="57"/>
        <v>100</v>
      </c>
      <c r="D155" s="2">
        <f t="shared" si="64"/>
        <v>0.18189283550290758</v>
      </c>
      <c r="E155" s="2" t="e">
        <f t="shared" si="65"/>
        <v>#DIV/0!</v>
      </c>
      <c r="F155" s="2">
        <f t="shared" si="66"/>
        <v>5.6545208204809008E-3</v>
      </c>
      <c r="G155" s="2" t="e">
        <f t="shared" si="67"/>
        <v>#NUM!</v>
      </c>
      <c r="H155" s="2">
        <f t="shared" si="58"/>
        <v>-161</v>
      </c>
      <c r="I155" s="2">
        <f t="shared" si="59"/>
        <v>-368.52941176470574</v>
      </c>
      <c r="M155" s="2">
        <f t="shared" si="60"/>
        <v>141.44434903715563</v>
      </c>
      <c r="N155" s="2">
        <f t="shared" si="61"/>
        <v>0</v>
      </c>
      <c r="O155" s="2">
        <f t="shared" si="62"/>
        <v>141.44434903715563</v>
      </c>
      <c r="P155" s="2">
        <f t="shared" si="63"/>
        <v>0</v>
      </c>
      <c r="Q155" s="1">
        <f t="shared" si="68"/>
        <v>9.0504699205353596</v>
      </c>
      <c r="R155" s="1">
        <f t="shared" si="69"/>
        <v>3.4509876976865894</v>
      </c>
    </row>
    <row r="156" spans="1:18" x14ac:dyDescent="0.35">
      <c r="A156" s="1">
        <v>148</v>
      </c>
      <c r="B156" s="2">
        <f t="shared" si="56"/>
        <v>100</v>
      </c>
      <c r="C156" s="2">
        <f t="shared" si="57"/>
        <v>100</v>
      </c>
      <c r="D156" s="2">
        <f t="shared" si="64"/>
        <v>0.17112606632794866</v>
      </c>
      <c r="E156" s="2" t="e">
        <f t="shared" si="65"/>
        <v>#DIV/0!</v>
      </c>
      <c r="F156" s="2">
        <f t="shared" si="66"/>
        <v>5.3198131872704358E-3</v>
      </c>
      <c r="G156" s="2" t="e">
        <f t="shared" si="67"/>
        <v>#NUM!</v>
      </c>
      <c r="H156" s="2">
        <f t="shared" si="58"/>
        <v>-164</v>
      </c>
      <c r="I156" s="2">
        <f t="shared" si="59"/>
        <v>-372.94117647058818</v>
      </c>
      <c r="M156" s="2">
        <f t="shared" si="60"/>
        <v>142.31004102669019</v>
      </c>
      <c r="N156" s="2">
        <f t="shared" si="61"/>
        <v>0</v>
      </c>
      <c r="O156" s="2">
        <f t="shared" si="62"/>
        <v>142.31004102669019</v>
      </c>
      <c r="P156" s="2">
        <f t="shared" si="63"/>
        <v>0</v>
      </c>
      <c r="Q156" s="1">
        <f t="shared" si="68"/>
        <v>8.9225282150716136</v>
      </c>
      <c r="R156" s="1">
        <f t="shared" si="69"/>
        <v>3.4022029102166464</v>
      </c>
    </row>
    <row r="157" spans="1:18" x14ac:dyDescent="0.35">
      <c r="A157" s="1">
        <v>149</v>
      </c>
      <c r="B157" s="2">
        <f t="shared" si="56"/>
        <v>100</v>
      </c>
      <c r="C157" s="2">
        <f t="shared" si="57"/>
        <v>100</v>
      </c>
      <c r="D157" s="2">
        <f t="shared" si="64"/>
        <v>0.16106277973769054</v>
      </c>
      <c r="E157" s="2" t="e">
        <f t="shared" si="65"/>
        <v>#DIV/0!</v>
      </c>
      <c r="F157" s="2">
        <f t="shared" si="66"/>
        <v>5.0069747877273607E-3</v>
      </c>
      <c r="G157" s="2" t="e">
        <f t="shared" si="67"/>
        <v>#NUM!</v>
      </c>
      <c r="H157" s="2">
        <f t="shared" si="58"/>
        <v>-167</v>
      </c>
      <c r="I157" s="2">
        <f t="shared" si="59"/>
        <v>-377.35294117647049</v>
      </c>
      <c r="M157" s="2">
        <f t="shared" si="60"/>
        <v>143.17514828210068</v>
      </c>
      <c r="N157" s="2">
        <f t="shared" si="61"/>
        <v>0</v>
      </c>
      <c r="O157" s="2">
        <f t="shared" si="62"/>
        <v>143.17514828210068</v>
      </c>
      <c r="P157" s="2">
        <f t="shared" si="63"/>
        <v>0</v>
      </c>
      <c r="Q157" s="1">
        <f t="shared" si="68"/>
        <v>8.7972385494086485</v>
      </c>
      <c r="R157" s="1">
        <f t="shared" si="69"/>
        <v>3.3544293582744307</v>
      </c>
    </row>
    <row r="158" spans="1:18" x14ac:dyDescent="0.35">
      <c r="A158" s="1">
        <v>150</v>
      </c>
      <c r="B158" s="2">
        <f t="shared" si="56"/>
        <v>100</v>
      </c>
      <c r="C158" s="2">
        <f t="shared" si="57"/>
        <v>100</v>
      </c>
      <c r="D158" s="2">
        <f t="shared" si="64"/>
        <v>0.15165274454805741</v>
      </c>
      <c r="E158" s="2" t="e">
        <f t="shared" si="65"/>
        <v>#DIV/0!</v>
      </c>
      <c r="F158" s="2">
        <f t="shared" si="66"/>
        <v>4.7144440799943036E-3</v>
      </c>
      <c r="G158" s="2" t="e">
        <f t="shared" si="67"/>
        <v>#NUM!</v>
      </c>
      <c r="H158" s="2">
        <f t="shared" si="58"/>
        <v>-170</v>
      </c>
      <c r="I158" s="2">
        <f t="shared" si="59"/>
        <v>-381.76470588235281</v>
      </c>
      <c r="M158" s="2">
        <f t="shared" si="60"/>
        <v>144.03967511883266</v>
      </c>
      <c r="N158" s="2">
        <f t="shared" si="61"/>
        <v>0</v>
      </c>
      <c r="O158" s="2">
        <f t="shared" si="62"/>
        <v>144.03967511883266</v>
      </c>
      <c r="P158" s="2">
        <f t="shared" si="63"/>
        <v>0</v>
      </c>
      <c r="Q158" s="1">
        <f t="shared" si="68"/>
        <v>8.6745287007912193</v>
      </c>
      <c r="R158" s="1">
        <f t="shared" si="69"/>
        <v>3.3076395029761017</v>
      </c>
    </row>
  </sheetData>
  <sheetProtection sheet="1" objects="1" scenarios="1" selectLockedCells="1" selectUnlockedCells="1"/>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6" r:id="rId4" name="Spinner 2">
              <controlPr defaultSize="0" autoPict="0">
                <anchor moveWithCells="1" sizeWithCells="1">
                  <from>
                    <xdr:col>41</xdr:col>
                    <xdr:colOff>19050</xdr:colOff>
                    <xdr:row>5</xdr:row>
                    <xdr:rowOff>0</xdr:rowOff>
                  </from>
                  <to>
                    <xdr:col>41</xdr:col>
                    <xdr:colOff>127000</xdr:colOff>
                    <xdr:row>6</xdr:row>
                    <xdr:rowOff>0</xdr:rowOff>
                  </to>
                </anchor>
              </controlPr>
            </control>
          </mc:Choice>
        </mc:AlternateContent>
        <mc:AlternateContent xmlns:mc="http://schemas.openxmlformats.org/markup-compatibility/2006">
          <mc:Choice Requires="x14">
            <control shapeId="1027" r:id="rId5" name="Spinner 3">
              <controlPr defaultSize="0" autoPict="0">
                <anchor moveWithCells="1" sizeWithCells="1">
                  <from>
                    <xdr:col>42</xdr:col>
                    <xdr:colOff>19050</xdr:colOff>
                    <xdr:row>5</xdr:row>
                    <xdr:rowOff>0</xdr:rowOff>
                  </from>
                  <to>
                    <xdr:col>42</xdr:col>
                    <xdr:colOff>127000</xdr:colOff>
                    <xdr:row>6</xdr:row>
                    <xdr:rowOff>0</xdr:rowOff>
                  </to>
                </anchor>
              </controlPr>
            </control>
          </mc:Choice>
        </mc:AlternateContent>
        <mc:AlternateContent xmlns:mc="http://schemas.openxmlformats.org/markup-compatibility/2006">
          <mc:Choice Requires="x14">
            <control shapeId="1028" r:id="rId6" name="Spinner 4">
              <controlPr defaultSize="0" autoPict="0">
                <anchor moveWithCells="1" sizeWithCells="1">
                  <from>
                    <xdr:col>43</xdr:col>
                    <xdr:colOff>31750</xdr:colOff>
                    <xdr:row>5</xdr:row>
                    <xdr:rowOff>0</xdr:rowOff>
                  </from>
                  <to>
                    <xdr:col>43</xdr:col>
                    <xdr:colOff>133350</xdr:colOff>
                    <xdr:row>6</xdr:row>
                    <xdr:rowOff>0</xdr:rowOff>
                  </to>
                </anchor>
              </controlPr>
            </control>
          </mc:Choice>
        </mc:AlternateContent>
        <mc:AlternateContent xmlns:mc="http://schemas.openxmlformats.org/markup-compatibility/2006">
          <mc:Choice Requires="x14">
            <control shapeId="1030" r:id="rId7" name="Spinner 6">
              <controlPr defaultSize="0" autoPict="0">
                <anchor moveWithCells="1" sizeWithCells="1">
                  <from>
                    <xdr:col>45</xdr:col>
                    <xdr:colOff>19050</xdr:colOff>
                    <xdr:row>5</xdr:row>
                    <xdr:rowOff>0</xdr:rowOff>
                  </from>
                  <to>
                    <xdr:col>45</xdr:col>
                    <xdr:colOff>127000</xdr:colOff>
                    <xdr:row>6</xdr:row>
                    <xdr:rowOff>0</xdr:rowOff>
                  </to>
                </anchor>
              </controlPr>
            </control>
          </mc:Choice>
        </mc:AlternateContent>
        <mc:AlternateContent xmlns:mc="http://schemas.openxmlformats.org/markup-compatibility/2006">
          <mc:Choice Requires="x14">
            <control shapeId="1031" r:id="rId8" name="Spinner 7">
              <controlPr defaultSize="0" autoPict="0">
                <anchor moveWithCells="1" sizeWithCells="1">
                  <from>
                    <xdr:col>46</xdr:col>
                    <xdr:colOff>19050</xdr:colOff>
                    <xdr:row>5</xdr:row>
                    <xdr:rowOff>0</xdr:rowOff>
                  </from>
                  <to>
                    <xdr:col>46</xdr:col>
                    <xdr:colOff>127000</xdr:colOff>
                    <xdr:row>6</xdr:row>
                    <xdr:rowOff>0</xdr:rowOff>
                  </to>
                </anchor>
              </controlPr>
            </control>
          </mc:Choice>
        </mc:AlternateContent>
        <mc:AlternateContent xmlns:mc="http://schemas.openxmlformats.org/markup-compatibility/2006">
          <mc:Choice Requires="x14">
            <control shapeId="1032" r:id="rId9" name="Spinner 8">
              <controlPr defaultSize="0" autoPict="0">
                <anchor moveWithCells="1" sizeWithCells="1">
                  <from>
                    <xdr:col>47</xdr:col>
                    <xdr:colOff>19050</xdr:colOff>
                    <xdr:row>5</xdr:row>
                    <xdr:rowOff>0</xdr:rowOff>
                  </from>
                  <to>
                    <xdr:col>47</xdr:col>
                    <xdr:colOff>127000</xdr:colOff>
                    <xdr:row>6</xdr:row>
                    <xdr:rowOff>0</xdr:rowOff>
                  </to>
                </anchor>
              </controlPr>
            </control>
          </mc:Choice>
        </mc:AlternateContent>
        <mc:AlternateContent xmlns:mc="http://schemas.openxmlformats.org/markup-compatibility/2006">
          <mc:Choice Requires="x14">
            <control shapeId="1033" r:id="rId10" name="Spinner 9">
              <controlPr defaultSize="0" autoPict="0">
                <anchor moveWithCells="1" sizeWithCells="1">
                  <from>
                    <xdr:col>44</xdr:col>
                    <xdr:colOff>31750</xdr:colOff>
                    <xdr:row>5</xdr:row>
                    <xdr:rowOff>0</xdr:rowOff>
                  </from>
                  <to>
                    <xdr:col>44</xdr:col>
                    <xdr:colOff>133350</xdr:colOff>
                    <xdr:row>6</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37</vt:i4>
      </vt:variant>
    </vt:vector>
  </HeadingPairs>
  <TitlesOfParts>
    <vt:vector size="39" baseType="lpstr">
      <vt:lpstr>Keterangan dan Instruksi</vt:lpstr>
      <vt:lpstr>Diagram</vt:lpstr>
      <vt:lpstr>alpha0</vt:lpstr>
      <vt:lpstr>alpha1</vt:lpstr>
      <vt:lpstr>ap1p20</vt:lpstr>
      <vt:lpstr>ap1p21</vt:lpstr>
      <vt:lpstr>beta0</vt:lpstr>
      <vt:lpstr>beta1</vt:lpstr>
      <vt:lpstr>gamma0</vt:lpstr>
      <vt:lpstr>gamma1</vt:lpstr>
      <vt:lpstr>interc0</vt:lpstr>
      <vt:lpstr>interc1</vt:lpstr>
      <vt:lpstr>K1e0</vt:lpstr>
      <vt:lpstr>K1e1</vt:lpstr>
      <vt:lpstr>K2e0</vt:lpstr>
      <vt:lpstr>K2e1</vt:lpstr>
      <vt:lpstr>L1e0</vt:lpstr>
      <vt:lpstr>L1e1</vt:lpstr>
      <vt:lpstr>L2e0</vt:lpstr>
      <vt:lpstr>L2e1</vt:lpstr>
      <vt:lpstr>mrs0</vt:lpstr>
      <vt:lpstr>mrsc0</vt:lpstr>
      <vt:lpstr>mrsc1</vt:lpstr>
      <vt:lpstr>mrt0</vt:lpstr>
      <vt:lpstr>mrts1</vt:lpstr>
      <vt:lpstr>SCapital0</vt:lpstr>
      <vt:lpstr>SCapital1</vt:lpstr>
      <vt:lpstr>SLab0</vt:lpstr>
      <vt:lpstr>SLab1</vt:lpstr>
      <vt:lpstr>TechA0</vt:lpstr>
      <vt:lpstr>TechA1</vt:lpstr>
      <vt:lpstr>TechB0</vt:lpstr>
      <vt:lpstr>TechB1</vt:lpstr>
      <vt:lpstr>util0</vt:lpstr>
      <vt:lpstr>util1</vt:lpstr>
      <vt:lpstr>X1e0</vt:lpstr>
      <vt:lpstr>X1e1</vt:lpstr>
      <vt:lpstr>X2e0</vt:lpstr>
      <vt:lpstr>X2e1</vt:lpstr>
    </vt:vector>
  </TitlesOfParts>
  <Company>home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A. Yusuf</dc:creator>
  <cp:lastModifiedBy>Arief</cp:lastModifiedBy>
  <dcterms:created xsi:type="dcterms:W3CDTF">2015-12-06T14:55:29Z</dcterms:created>
  <dcterms:modified xsi:type="dcterms:W3CDTF">2020-01-13T14:57:40Z</dcterms:modified>
</cp:coreProperties>
</file>