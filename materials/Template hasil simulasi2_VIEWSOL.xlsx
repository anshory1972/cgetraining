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KDB\Dropbox\E\WORK\CEDS\CGE Kepri 2025\Training\D3S2-Policy Simulation\"/>
    </mc:Choice>
  </mc:AlternateContent>
  <xr:revisionPtr revIDLastSave="0" documentId="13_ncr:1_{0993DB35-BF22-455C-BF94-6B12B5576FE3}" xr6:coauthVersionLast="47" xr6:coauthVersionMax="47" xr10:uidLastSave="{00000000-0000-0000-0000-000000000000}"/>
  <bookViews>
    <workbookView xWindow="-110" yWindow="-110" windowWidth="21820" windowHeight="13000" activeTab="2" xr2:uid="{2C9E0B1E-13BD-42B9-8298-90B154C3CD0C}"/>
  </bookViews>
  <sheets>
    <sheet name="Instruksi" sheetId="7" r:id="rId1"/>
    <sheet name="g_gain" sheetId="2" r:id="rId2"/>
    <sheet name="makro" sheetId="6" r:id="rId3"/>
    <sheet name="sektoral" sheetId="3" r:id="rId4"/>
    <sheet name="Inclusiv1" sheetId="8" r:id="rId5"/>
    <sheet name="Inclusiv2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5" i="9" l="1"/>
  <c r="E25" i="9"/>
  <c r="D25" i="9"/>
  <c r="C25" i="9"/>
  <c r="U21" i="9"/>
  <c r="T21" i="9"/>
  <c r="S21" i="9"/>
  <c r="J25" i="9" s="1"/>
  <c r="R21" i="9"/>
  <c r="I25" i="9" s="1"/>
  <c r="Q21" i="9"/>
  <c r="H25" i="9" s="1"/>
  <c r="P21" i="9"/>
  <c r="G25" i="9" s="1"/>
  <c r="O21" i="9"/>
  <c r="F25" i="9" s="1"/>
  <c r="N21" i="9"/>
  <c r="M21" i="9"/>
  <c r="L21" i="9"/>
  <c r="K21" i="9"/>
  <c r="B25" i="9" s="1"/>
  <c r="J21" i="9"/>
  <c r="I21" i="9"/>
  <c r="H21" i="9"/>
  <c r="G21" i="9"/>
  <c r="F21" i="9"/>
  <c r="E21" i="9"/>
  <c r="D21" i="9"/>
  <c r="C21" i="9"/>
  <c r="B21" i="9"/>
  <c r="U11" i="9"/>
  <c r="T11" i="9"/>
  <c r="K24" i="9" s="1"/>
  <c r="S11" i="9"/>
  <c r="J24" i="9" s="1"/>
  <c r="R11" i="9"/>
  <c r="I24" i="9" s="1"/>
  <c r="Q11" i="9"/>
  <c r="H24" i="9" s="1"/>
  <c r="P11" i="9"/>
  <c r="G24" i="9" s="1"/>
  <c r="O11" i="9"/>
  <c r="F24" i="9" s="1"/>
  <c r="N11" i="9"/>
  <c r="E24" i="9" s="1"/>
  <c r="M11" i="9"/>
  <c r="D24" i="9" s="1"/>
  <c r="L11" i="9"/>
  <c r="C24" i="9" s="1"/>
  <c r="K11" i="9"/>
  <c r="B24" i="9" s="1"/>
  <c r="J11" i="9"/>
  <c r="I11" i="9"/>
  <c r="H11" i="9"/>
  <c r="G11" i="9"/>
  <c r="F11" i="9"/>
  <c r="E11" i="9"/>
  <c r="D11" i="9"/>
  <c r="C11" i="9"/>
  <c r="B11" i="9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B27" i="8"/>
  <c r="AA41" i="6" l="1"/>
  <c r="Z41" i="6"/>
  <c r="Y41" i="6"/>
  <c r="X41" i="6"/>
  <c r="Z12" i="6"/>
  <c r="Y71" i="3"/>
  <c r="A71" i="3"/>
  <c r="X71" i="3" s="1"/>
  <c r="Y70" i="3"/>
  <c r="A70" i="3"/>
  <c r="X70" i="3" s="1"/>
  <c r="Y69" i="3"/>
  <c r="A69" i="3"/>
  <c r="X69" i="3" s="1"/>
  <c r="Y68" i="3"/>
  <c r="A68" i="3"/>
  <c r="X68" i="3" s="1"/>
  <c r="Y67" i="3"/>
  <c r="A67" i="3"/>
  <c r="X67" i="3" s="1"/>
  <c r="Y66" i="3"/>
  <c r="A66" i="3"/>
  <c r="X66" i="3" s="1"/>
  <c r="Y65" i="3"/>
  <c r="A65" i="3"/>
  <c r="X65" i="3" s="1"/>
  <c r="Y64" i="3"/>
  <c r="A64" i="3"/>
  <c r="X64" i="3" s="1"/>
  <c r="Y63" i="3"/>
  <c r="A63" i="3"/>
  <c r="X63" i="3" s="1"/>
  <c r="Y62" i="3"/>
  <c r="A62" i="3"/>
  <c r="X62" i="3" s="1"/>
  <c r="Y61" i="3"/>
  <c r="A61" i="3"/>
  <c r="X61" i="3" s="1"/>
  <c r="Y60" i="3"/>
  <c r="A60" i="3"/>
  <c r="X60" i="3" s="1"/>
  <c r="Y59" i="3"/>
  <c r="A59" i="3"/>
  <c r="X59" i="3" s="1"/>
  <c r="Y58" i="3"/>
  <c r="A58" i="3"/>
  <c r="X58" i="3" s="1"/>
  <c r="Y57" i="3"/>
  <c r="A57" i="3"/>
  <c r="X57" i="3" s="1"/>
  <c r="Y56" i="3"/>
  <c r="A56" i="3"/>
  <c r="X56" i="3" s="1"/>
  <c r="Y55" i="3"/>
  <c r="A55" i="3"/>
  <c r="X55" i="3" s="1"/>
  <c r="Y54" i="3"/>
  <c r="A54" i="3"/>
  <c r="X54" i="3" s="1"/>
  <c r="Y53" i="3"/>
  <c r="A53" i="3"/>
  <c r="X53" i="3" s="1"/>
  <c r="Y52" i="3"/>
  <c r="A52" i="3"/>
  <c r="X52" i="3" s="1"/>
  <c r="Y51" i="3"/>
  <c r="A51" i="3"/>
  <c r="X51" i="3" s="1"/>
  <c r="Y50" i="3"/>
  <c r="A50" i="3"/>
  <c r="X50" i="3" s="1"/>
  <c r="Y49" i="3"/>
  <c r="A49" i="3"/>
  <c r="X49" i="3" s="1"/>
  <c r="Y48" i="3"/>
  <c r="A48" i="3"/>
  <c r="X48" i="3" s="1"/>
  <c r="Y47" i="3"/>
  <c r="A47" i="3"/>
  <c r="X47" i="3" s="1"/>
  <c r="Y46" i="3"/>
  <c r="A46" i="3"/>
  <c r="X46" i="3" s="1"/>
  <c r="Y45" i="3"/>
  <c r="A45" i="3"/>
  <c r="X45" i="3" s="1"/>
  <c r="Y44" i="3"/>
  <c r="A44" i="3"/>
  <c r="X44" i="3" s="1"/>
  <c r="Y43" i="3"/>
  <c r="A43" i="3"/>
  <c r="X43" i="3" s="1"/>
  <c r="Y42" i="3"/>
  <c r="A42" i="3"/>
  <c r="X42" i="3" s="1"/>
  <c r="Y41" i="3"/>
  <c r="X41" i="3"/>
  <c r="Y35" i="3"/>
  <c r="A35" i="3"/>
  <c r="X35" i="3" s="1"/>
  <c r="Y34" i="3"/>
  <c r="A34" i="3"/>
  <c r="X34" i="3" s="1"/>
  <c r="Y33" i="3"/>
  <c r="A33" i="3"/>
  <c r="X33" i="3" s="1"/>
  <c r="Y32" i="3"/>
  <c r="A32" i="3"/>
  <c r="X32" i="3" s="1"/>
  <c r="Y31" i="3"/>
  <c r="A31" i="3"/>
  <c r="X31" i="3" s="1"/>
  <c r="Y30" i="3"/>
  <c r="A30" i="3"/>
  <c r="X30" i="3" s="1"/>
  <c r="Y29" i="3"/>
  <c r="A29" i="3"/>
  <c r="X29" i="3" s="1"/>
  <c r="Y28" i="3"/>
  <c r="A28" i="3"/>
  <c r="X28" i="3" s="1"/>
  <c r="Y27" i="3"/>
  <c r="A27" i="3"/>
  <c r="X27" i="3" s="1"/>
  <c r="Y26" i="3"/>
  <c r="A26" i="3"/>
  <c r="X26" i="3" s="1"/>
  <c r="Y25" i="3"/>
  <c r="A25" i="3"/>
  <c r="X25" i="3" s="1"/>
  <c r="Y24" i="3"/>
  <c r="A24" i="3"/>
  <c r="X24" i="3" s="1"/>
  <c r="Y23" i="3"/>
  <c r="A23" i="3"/>
  <c r="X23" i="3" s="1"/>
  <c r="Y22" i="3"/>
  <c r="A22" i="3"/>
  <c r="X22" i="3" s="1"/>
  <c r="Y21" i="3"/>
  <c r="A21" i="3"/>
  <c r="X21" i="3" s="1"/>
  <c r="Y20" i="3"/>
  <c r="A20" i="3"/>
  <c r="X20" i="3" s="1"/>
  <c r="Y19" i="3"/>
  <c r="A19" i="3"/>
  <c r="X19" i="3" s="1"/>
  <c r="Y18" i="3"/>
  <c r="A18" i="3"/>
  <c r="X18" i="3" s="1"/>
  <c r="Y17" i="3"/>
  <c r="A17" i="3"/>
  <c r="X17" i="3" s="1"/>
  <c r="Y16" i="3"/>
  <c r="A16" i="3"/>
  <c r="X16" i="3" s="1"/>
  <c r="Y15" i="3"/>
  <c r="A15" i="3"/>
  <c r="X15" i="3" s="1"/>
  <c r="Y14" i="3"/>
  <c r="A14" i="3"/>
  <c r="X14" i="3" s="1"/>
  <c r="Y13" i="3"/>
  <c r="A13" i="3"/>
  <c r="X13" i="3" s="1"/>
  <c r="Y12" i="3"/>
  <c r="A12" i="3"/>
  <c r="X12" i="3" s="1"/>
  <c r="Y11" i="3"/>
  <c r="A11" i="3"/>
  <c r="X11" i="3" s="1"/>
  <c r="Y10" i="3"/>
  <c r="A10" i="3"/>
  <c r="X10" i="3" s="1"/>
  <c r="Y9" i="3"/>
  <c r="A9" i="3"/>
  <c r="X9" i="3" s="1"/>
  <c r="Y8" i="3"/>
  <c r="A8" i="3"/>
  <c r="X8" i="3" s="1"/>
  <c r="Y7" i="3"/>
  <c r="A7" i="3"/>
  <c r="X7" i="3" s="1"/>
  <c r="Y6" i="3"/>
  <c r="A6" i="3"/>
  <c r="X6" i="3" s="1"/>
  <c r="X5" i="3"/>
  <c r="X12" i="6" l="1"/>
  <c r="Y12" i="6"/>
  <c r="W44" i="3"/>
  <c r="W12" i="3"/>
  <c r="W9" i="3"/>
  <c r="W6" i="3"/>
  <c r="W20" i="3"/>
  <c r="W23" i="3"/>
  <c r="W26" i="3"/>
  <c r="W43" i="3"/>
  <c r="W32" i="3"/>
  <c r="W35" i="3"/>
  <c r="W46" i="3"/>
  <c r="W59" i="3"/>
  <c r="W62" i="3"/>
  <c r="W15" i="3"/>
  <c r="W7" i="3"/>
  <c r="W27" i="3"/>
  <c r="W63" i="3"/>
  <c r="W10" i="3"/>
  <c r="W47" i="3"/>
  <c r="W66" i="3"/>
  <c r="W16" i="3"/>
  <c r="W19" i="3"/>
  <c r="W22" i="3"/>
  <c r="W51" i="3"/>
  <c r="W54" i="3"/>
  <c r="W67" i="3"/>
  <c r="W70" i="3"/>
  <c r="W30" i="3"/>
  <c r="W50" i="3"/>
  <c r="W8" i="3"/>
  <c r="W28" i="3"/>
  <c r="W31" i="3"/>
  <c r="W34" i="3"/>
  <c r="W69" i="3"/>
  <c r="W45" i="3"/>
  <c r="W18" i="3"/>
  <c r="W24" i="3"/>
  <c r="W11" i="3"/>
  <c r="W14" i="3"/>
  <c r="W55" i="3"/>
  <c r="W58" i="3"/>
  <c r="W13" i="3"/>
  <c r="W17" i="3"/>
  <c r="W25" i="3"/>
  <c r="W33" i="3"/>
  <c r="W48" i="3"/>
  <c r="W52" i="3"/>
  <c r="W56" i="3"/>
  <c r="W60" i="3"/>
  <c r="W64" i="3"/>
  <c r="W68" i="3"/>
  <c r="W21" i="3"/>
  <c r="W29" i="3"/>
  <c r="W71" i="3"/>
  <c r="W42" i="3"/>
  <c r="W49" i="3"/>
  <c r="W53" i="3"/>
  <c r="W57" i="3"/>
  <c r="W61" i="3"/>
  <c r="W65" i="3"/>
  <c r="AC23" i="3" l="1"/>
  <c r="AC20" i="3"/>
  <c r="AB11" i="3"/>
  <c r="AB16" i="3"/>
  <c r="AB17" i="3"/>
  <c r="AB15" i="3"/>
  <c r="AC15" i="3"/>
  <c r="AB25" i="3"/>
  <c r="AC28" i="3"/>
  <c r="AB19" i="3"/>
  <c r="AB6" i="3"/>
  <c r="AC17" i="3"/>
  <c r="AC32" i="3"/>
  <c r="AB23" i="3"/>
  <c r="AB21" i="3"/>
  <c r="AB27" i="3"/>
  <c r="AC10" i="3"/>
  <c r="AC25" i="3"/>
  <c r="AC21" i="3"/>
  <c r="AC19" i="3"/>
  <c r="AB20" i="3"/>
  <c r="AC27" i="3"/>
  <c r="AC18" i="3"/>
  <c r="AB8" i="3"/>
  <c r="AB18" i="3"/>
  <c r="AC14" i="3"/>
  <c r="AC24" i="3"/>
  <c r="AC35" i="3"/>
  <c r="AB13" i="3"/>
  <c r="AC71" i="3"/>
  <c r="AC67" i="3"/>
  <c r="AC63" i="3"/>
  <c r="AC59" i="3"/>
  <c r="AC55" i="3"/>
  <c r="AC51" i="3"/>
  <c r="AC47" i="3"/>
  <c r="AC43" i="3"/>
  <c r="AB71" i="3"/>
  <c r="AB67" i="3"/>
  <c r="AB63" i="3"/>
  <c r="AB59" i="3"/>
  <c r="AB55" i="3"/>
  <c r="AB51" i="3"/>
  <c r="AB47" i="3"/>
  <c r="AB43" i="3"/>
  <c r="AC68" i="3"/>
  <c r="AC64" i="3"/>
  <c r="AC60" i="3"/>
  <c r="AC56" i="3"/>
  <c r="AC52" i="3"/>
  <c r="AC48" i="3"/>
  <c r="AC44" i="3"/>
  <c r="AB68" i="3"/>
  <c r="AB64" i="3"/>
  <c r="AB60" i="3"/>
  <c r="AB56" i="3"/>
  <c r="AB52" i="3"/>
  <c r="AB48" i="3"/>
  <c r="AB44" i="3"/>
  <c r="AC69" i="3"/>
  <c r="AC65" i="3"/>
  <c r="AC61" i="3"/>
  <c r="AC57" i="3"/>
  <c r="AC53" i="3"/>
  <c r="AC49" i="3"/>
  <c r="AC45" i="3"/>
  <c r="AC42" i="3"/>
  <c r="AB69" i="3"/>
  <c r="AB65" i="3"/>
  <c r="AB61" i="3"/>
  <c r="AB57" i="3"/>
  <c r="AB53" i="3"/>
  <c r="AB49" i="3"/>
  <c r="AB45" i="3"/>
  <c r="AC70" i="3"/>
  <c r="AC66" i="3"/>
  <c r="AC62" i="3"/>
  <c r="AC58" i="3"/>
  <c r="AC54" i="3"/>
  <c r="AC50" i="3"/>
  <c r="AC46" i="3"/>
  <c r="AB70" i="3"/>
  <c r="AB66" i="3"/>
  <c r="AB62" i="3"/>
  <c r="AB58" i="3"/>
  <c r="AB54" i="3"/>
  <c r="AB50" i="3"/>
  <c r="AB46" i="3"/>
  <c r="AB42" i="3"/>
  <c r="AB10" i="3"/>
  <c r="AB28" i="3"/>
  <c r="AC22" i="3"/>
  <c r="AC29" i="3"/>
  <c r="AC8" i="3"/>
  <c r="AC31" i="3"/>
  <c r="AB22" i="3"/>
  <c r="AC26" i="3"/>
  <c r="AB29" i="3"/>
  <c r="AC33" i="3"/>
  <c r="AC12" i="3"/>
  <c r="AC16" i="3"/>
  <c r="AB31" i="3"/>
  <c r="AB14" i="3"/>
  <c r="AB26" i="3"/>
  <c r="AC30" i="3"/>
  <c r="AB33" i="3"/>
  <c r="AB12" i="3"/>
  <c r="AB35" i="3"/>
  <c r="AB34" i="3"/>
  <c r="AB30" i="3"/>
  <c r="AC34" i="3"/>
  <c r="AC9" i="3"/>
  <c r="AB24" i="3"/>
  <c r="AB7" i="3"/>
  <c r="AC7" i="3"/>
  <c r="AC11" i="3"/>
  <c r="AC6" i="3"/>
  <c r="AB9" i="3"/>
  <c r="AC13" i="3"/>
  <c r="AB32" i="3"/>
  <c r="L48" i="2" l="1"/>
  <c r="L52" i="2" s="1"/>
  <c r="L47" i="2"/>
  <c r="L51" i="2" s="1"/>
  <c r="L46" i="2"/>
  <c r="L50" i="2" s="1"/>
  <c r="L45" i="2"/>
  <c r="B44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U27" i="2"/>
  <c r="T27" i="2"/>
  <c r="T35" i="2" s="1"/>
  <c r="S27" i="2"/>
  <c r="S35" i="2" s="1"/>
  <c r="R27" i="2"/>
  <c r="R35" i="2" s="1"/>
  <c r="Q27" i="2"/>
  <c r="Q35" i="2" s="1"/>
  <c r="P27" i="2"/>
  <c r="P35" i="2" s="1"/>
  <c r="O27" i="2"/>
  <c r="O35" i="2" s="1"/>
  <c r="N27" i="2"/>
  <c r="N35" i="2" s="1"/>
  <c r="M27" i="2"/>
  <c r="M35" i="2" s="1"/>
  <c r="L27" i="2"/>
  <c r="L35" i="2" s="1"/>
  <c r="K27" i="2"/>
  <c r="K35" i="2" s="1"/>
  <c r="J27" i="2"/>
  <c r="J35" i="2" s="1"/>
  <c r="I27" i="2"/>
  <c r="I35" i="2" s="1"/>
  <c r="H27" i="2"/>
  <c r="H35" i="2" s="1"/>
  <c r="G27" i="2"/>
  <c r="G35" i="2" s="1"/>
  <c r="F27" i="2"/>
  <c r="F35" i="2" s="1"/>
  <c r="E27" i="2"/>
  <c r="E35" i="2" s="1"/>
  <c r="D27" i="2"/>
  <c r="D35" i="2" s="1"/>
  <c r="C27" i="2"/>
  <c r="C35" i="2" s="1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U20" i="2"/>
  <c r="T20" i="2"/>
  <c r="T34" i="2" s="1"/>
  <c r="S20" i="2"/>
  <c r="S34" i="2" s="1"/>
  <c r="R20" i="2"/>
  <c r="R34" i="2" s="1"/>
  <c r="Q20" i="2"/>
  <c r="Q34" i="2" s="1"/>
  <c r="P20" i="2"/>
  <c r="O20" i="2"/>
  <c r="O34" i="2" s="1"/>
  <c r="N20" i="2"/>
  <c r="N34" i="2" s="1"/>
  <c r="M20" i="2"/>
  <c r="M34" i="2" s="1"/>
  <c r="L20" i="2"/>
  <c r="L34" i="2" s="1"/>
  <c r="K20" i="2"/>
  <c r="K34" i="2" s="1"/>
  <c r="J20" i="2"/>
  <c r="J34" i="2" s="1"/>
  <c r="I20" i="2"/>
  <c r="I34" i="2" s="1"/>
  <c r="H20" i="2"/>
  <c r="H34" i="2" s="1"/>
  <c r="G20" i="2"/>
  <c r="G34" i="2" s="1"/>
  <c r="F20" i="2"/>
  <c r="F34" i="2" s="1"/>
  <c r="E20" i="2"/>
  <c r="E34" i="2" s="1"/>
  <c r="D20" i="2"/>
  <c r="D34" i="2" s="1"/>
  <c r="C20" i="2"/>
  <c r="C34" i="2" s="1"/>
  <c r="E45" i="2" l="1"/>
  <c r="E46" i="2"/>
  <c r="C43" i="2"/>
  <c r="C47" i="2"/>
  <c r="E48" i="2"/>
  <c r="E42" i="2"/>
  <c r="C48" i="2"/>
  <c r="E40" i="2"/>
  <c r="C41" i="2"/>
  <c r="D42" i="2"/>
  <c r="E43" i="2"/>
  <c r="C46" i="2"/>
  <c r="E47" i="2"/>
  <c r="U35" i="2"/>
  <c r="C40" i="2"/>
  <c r="D41" i="2"/>
  <c r="E41" i="2"/>
  <c r="C45" i="2"/>
  <c r="U34" i="2"/>
  <c r="D45" i="2"/>
  <c r="D48" i="2"/>
  <c r="C42" i="2"/>
  <c r="C52" i="2" s="1"/>
  <c r="P34" i="2"/>
  <c r="D43" i="2"/>
  <c r="D46" i="2"/>
  <c r="D40" i="2"/>
  <c r="D47" i="2"/>
  <c r="E50" i="2" l="1"/>
  <c r="C53" i="2"/>
  <c r="D50" i="2"/>
  <c r="M46" i="2" a="1"/>
  <c r="M47" i="2" s="1"/>
  <c r="N42" i="2" a="1"/>
  <c r="P42" i="2" s="1"/>
  <c r="E53" i="2"/>
  <c r="E51" i="2"/>
  <c r="E52" i="2"/>
  <c r="M42" i="2" a="1"/>
  <c r="M42" i="2" s="1"/>
  <c r="D52" i="2"/>
  <c r="C51" i="2"/>
  <c r="D51" i="2"/>
  <c r="C50" i="2"/>
  <c r="N46" i="2" a="1"/>
  <c r="D53" i="2"/>
  <c r="N44" i="2" l="1"/>
  <c r="N43" i="2"/>
  <c r="M48" i="2"/>
  <c r="O44" i="2"/>
  <c r="O42" i="2"/>
  <c r="N42" i="2"/>
  <c r="M46" i="2"/>
  <c r="M50" i="2" s="1"/>
  <c r="O43" i="2"/>
  <c r="P43" i="2"/>
  <c r="P44" i="2"/>
  <c r="M44" i="2"/>
  <c r="M52" i="2" s="1"/>
  <c r="M43" i="2"/>
  <c r="M51" i="2" s="1"/>
  <c r="N47" i="2"/>
  <c r="P46" i="2"/>
  <c r="P50" i="2" s="1"/>
  <c r="O46" i="2"/>
  <c r="P48" i="2"/>
  <c r="N46" i="2"/>
  <c r="O48" i="2"/>
  <c r="N48" i="2"/>
  <c r="P47" i="2"/>
  <c r="O47" i="2"/>
  <c r="N51" i="2" l="1"/>
  <c r="P51" i="2"/>
  <c r="N52" i="2"/>
  <c r="O51" i="2"/>
  <c r="O52" i="2"/>
  <c r="N50" i="2"/>
  <c r="O50" i="2"/>
  <c r="P52" i="2"/>
</calcChain>
</file>

<file path=xl/sharedStrings.xml><?xml version="1.0" encoding="utf-8"?>
<sst xmlns="http://schemas.openxmlformats.org/spreadsheetml/2006/main" count="282" uniqueCount="122">
  <si>
    <t>Baseline</t>
  </si>
  <si>
    <t>MainMacro</t>
  </si>
  <si>
    <t>19 Y2035</t>
  </si>
  <si>
    <t>1 KepRi</t>
  </si>
  <si>
    <t>2 ROS</t>
  </si>
  <si>
    <t>3 ROI</t>
  </si>
  <si>
    <t>4 National</t>
  </si>
  <si>
    <t>Policy</t>
  </si>
  <si>
    <t>MainMacro[RealGDP*](B)</t>
  </si>
  <si>
    <t>MainMacro[RealGDP*](P)</t>
  </si>
  <si>
    <t>Kepri</t>
  </si>
  <si>
    <t>2025-2030</t>
  </si>
  <si>
    <t>2030-2035</t>
  </si>
  <si>
    <t>2025-2035</t>
  </si>
  <si>
    <t>Simulated impact on national and regional economic growth (% per year)</t>
  </si>
  <si>
    <t>Impact on Kepri GDP (2025 = 100)</t>
  </si>
  <si>
    <t>National</t>
  </si>
  <si>
    <t>KepRi</t>
  </si>
  <si>
    <t>ROS</t>
  </si>
  <si>
    <t>ROI</t>
  </si>
  <si>
    <t>Baseline (% per tahun)</t>
  </si>
  <si>
    <t>Growth Gain</t>
  </si>
  <si>
    <t>Tambahan Pertumbuhan (percentage point per tahun)</t>
  </si>
  <si>
    <t>GDP Index (2025=100)*</t>
  </si>
  <si>
    <t>xlab_o</t>
  </si>
  <si>
    <t>xtot</t>
  </si>
  <si>
    <t>Variable</t>
  </si>
  <si>
    <t>Nama Simulasi</t>
  </si>
  <si>
    <t>Dampak Simulasi terhadap Employment berdasarkan Sektor Tahun 2035</t>
  </si>
  <si>
    <t>Dampak Simulasi terhadap Output berdasarkan Sektor Tahun 2035</t>
  </si>
  <si>
    <t>Rank</t>
  </si>
  <si>
    <t>Ururt  Rank</t>
  </si>
  <si>
    <t>Sektor</t>
  </si>
  <si>
    <t>Y2035</t>
  </si>
  <si>
    <t>1 Rice</t>
  </si>
  <si>
    <t>2 FoodCrops</t>
  </si>
  <si>
    <t>3 OthAgr</t>
  </si>
  <si>
    <t>4 Forestry</t>
  </si>
  <si>
    <t>5 OthPlant</t>
  </si>
  <si>
    <t>6 Fishery</t>
  </si>
  <si>
    <t>7 Coal</t>
  </si>
  <si>
    <t>8 NatGas</t>
  </si>
  <si>
    <t>9 OthMine</t>
  </si>
  <si>
    <t>10 FoodProds</t>
  </si>
  <si>
    <t>11 EdibleOils</t>
  </si>
  <si>
    <t>12 RiceMilling</t>
  </si>
  <si>
    <t>13 PetrolRefin</t>
  </si>
  <si>
    <t>14 BasChemicals</t>
  </si>
  <si>
    <t>15 Fertilizer</t>
  </si>
  <si>
    <t>16 ElectEqp</t>
  </si>
  <si>
    <t>17 OthMan</t>
  </si>
  <si>
    <t>18 ElecGas</t>
  </si>
  <si>
    <t>19 OthUtil</t>
  </si>
  <si>
    <t>20 Construction</t>
  </si>
  <si>
    <t>21 Trade</t>
  </si>
  <si>
    <t>22 LandRailTr</t>
  </si>
  <si>
    <t>23 SeaRiverTr</t>
  </si>
  <si>
    <t>24 AirTransport</t>
  </si>
  <si>
    <t>25 OthTrans</t>
  </si>
  <si>
    <t>26 Telecommunic</t>
  </si>
  <si>
    <t>27 InformatTech</t>
  </si>
  <si>
    <t>28 Banking</t>
  </si>
  <si>
    <t>29 RealEstate</t>
  </si>
  <si>
    <t>30 OthServices</t>
  </si>
  <si>
    <t>File: DevCum</t>
  </si>
  <si>
    <t>DST</t>
  </si>
  <si>
    <t>GDP</t>
  </si>
  <si>
    <t>Household consumption</t>
  </si>
  <si>
    <t>CPI</t>
  </si>
  <si>
    <t>Employment</t>
  </si>
  <si>
    <t>Real Wage</t>
  </si>
  <si>
    <t>Inclusivity Index 1</t>
  </si>
  <si>
    <t>Selected impacts on Kepulauan Riau economy</t>
  </si>
  <si>
    <t>Impact on selected macro indicators by regions in 2035</t>
  </si>
  <si>
    <t>1 RealHou</t>
  </si>
  <si>
    <t>2 RealInv</t>
  </si>
  <si>
    <t>3 RealGov</t>
  </si>
  <si>
    <t>4 ExpVol</t>
  </si>
  <si>
    <t>5 ImpVolUsed</t>
  </si>
  <si>
    <t>6 ImpsLanded</t>
  </si>
  <si>
    <t>7 RealGDP</t>
  </si>
  <si>
    <t>8 RealGNE</t>
  </si>
  <si>
    <t>9 AggEmploy</t>
  </si>
  <si>
    <t>10 realwage_io</t>
  </si>
  <si>
    <t>11 plab_io</t>
  </si>
  <si>
    <t>12 AggCapStock</t>
  </si>
  <si>
    <t>13 GDPPI</t>
  </si>
  <si>
    <t>14 GNEPI</t>
  </si>
  <si>
    <t>15 CPI</t>
  </si>
  <si>
    <t>16 ExportPI</t>
  </si>
  <si>
    <t>17 ImpsLandedPI</t>
  </si>
  <si>
    <t>18 Population</t>
  </si>
  <si>
    <t>19 NomHou</t>
  </si>
  <si>
    <t>20 NomGDPexp</t>
  </si>
  <si>
    <t>21 NomGDPinc</t>
  </si>
  <si>
    <t>Tahun</t>
  </si>
  <si>
    <t>Setelah simulasi selesai, pilihlah tab "Results" dan klik  "Graph/ViewSOL" untuk melihat hasil simulasi dari ViewSOL</t>
  </si>
  <si>
    <t>Untuk melihat data dari variabel yang diinginkan, kita dapat menggunakan Ctrl+F</t>
  </si>
  <si>
    <t xml:space="preserve">Variabel </t>
  </si>
  <si>
    <t>RealGDP</t>
  </si>
  <si>
    <t>xlab_o[*KepRi](D)</t>
  </si>
  <si>
    <t>xtot[*KepRi](D)</t>
  </si>
  <si>
    <t>Select RealGDP dari filter</t>
  </si>
  <si>
    <t>Pilih MainMacro[RealGDP,*]</t>
  </si>
  <si>
    <t>Selanjutnya copy angka di layar dengan perintah Ctrl+C dan paste pada sheet g_gain di tempat yang sudah disediakan</t>
  </si>
  <si>
    <t>Contoh untuk Baseline variabel RealGDP</t>
  </si>
  <si>
    <t>MainMacro[*KepRi](D)</t>
  </si>
  <si>
    <t>MainMacro(D)</t>
  </si>
  <si>
    <t>Isilah cell berwarna biru dengan informasi yang didapatkan dari hasil simulasi</t>
  </si>
  <si>
    <t>GDPINCSUM (Summary - CHO)</t>
  </si>
  <si>
    <t>GDPINCSUM</t>
  </si>
  <si>
    <t>Total</t>
  </si>
  <si>
    <t>1 Land</t>
  </si>
  <si>
    <t>2 Labour</t>
  </si>
  <si>
    <t>3 Capital</t>
  </si>
  <si>
    <t>4 PRODTAX</t>
  </si>
  <si>
    <t>5 ComTax</t>
  </si>
  <si>
    <t>Unuk melihat value dari Baseline, Pilihlah "Base" , "SUMMARY" dan for period pilh "All CHO" seperti pada gambar di bawah lalu klik "View"</t>
  </si>
  <si>
    <t>Langkah mengambil data value untuk menghitung Inclusivity Index 2</t>
  </si>
  <si>
    <t>Pilihlah GDPINCSUM</t>
  </si>
  <si>
    <t>Sesuaikan filter pada pojok kanan untuk melihat data yang diinginkan, lalu copy data tersebut dengan Ctrl + C dan paste pada sheet inclusiv 2</t>
  </si>
  <si>
    <t>Inclusivity Index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</si>
</sst>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Footlight MT Light"/>
      <family val="1"/>
    </font>
    <font>
      <b/>
      <sz val="11"/>
      <color theme="1"/>
      <name val="Footlight MT Light"/>
      <family val="1"/>
    </font>
    <font>
      <b/>
      <sz val="10"/>
      <color theme="1"/>
      <name val="Footlight MT Light"/>
      <family val="1"/>
    </font>
    <font>
      <sz val="10"/>
      <color theme="1"/>
      <name val="Footlight MT Light"/>
      <family val="1"/>
    </font>
    <font>
      <b/>
      <sz val="12"/>
      <color rgb="FF000000"/>
      <name val="Gill Sans MT"/>
      <family val="2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3">
    <xf numFmtId="0" fontId="0" fillId="0" borderId="0" xfId="0"/>
    <xf numFmtId="0" fontId="3" fillId="0" borderId="0" xfId="2"/>
    <xf numFmtId="0" fontId="4" fillId="0" borderId="0" xfId="0" applyFont="1"/>
    <xf numFmtId="0" fontId="4" fillId="2" borderId="0" xfId="0" applyFont="1" applyFill="1"/>
    <xf numFmtId="0" fontId="5" fillId="0" borderId="0" xfId="0" applyFont="1"/>
    <xf numFmtId="43" fontId="4" fillId="0" borderId="0" xfId="0" applyNumberFormat="1" applyFont="1"/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 indent="1"/>
    </xf>
    <xf numFmtId="2" fontId="4" fillId="0" borderId="0" xfId="0" applyNumberFormat="1" applyFont="1"/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left" indent="1"/>
    </xf>
    <xf numFmtId="2" fontId="7" fillId="0" borderId="0" xfId="0" applyNumberFormat="1" applyFont="1" applyAlignment="1">
      <alignment horizontal="center"/>
    </xf>
    <xf numFmtId="0" fontId="7" fillId="0" borderId="3" xfId="0" applyFont="1" applyBorder="1" applyAlignment="1">
      <alignment horizontal="left" indent="1"/>
    </xf>
    <xf numFmtId="2" fontId="7" fillId="0" borderId="3" xfId="0" applyNumberFormat="1" applyFont="1" applyBorder="1" applyAlignment="1">
      <alignment horizontal="center"/>
    </xf>
    <xf numFmtId="43" fontId="4" fillId="0" borderId="0" xfId="1" applyFont="1" applyFill="1"/>
    <xf numFmtId="0" fontId="0" fillId="3" borderId="0" xfId="0" applyFill="1"/>
    <xf numFmtId="0" fontId="2" fillId="0" borderId="0" xfId="0" applyFont="1"/>
    <xf numFmtId="0" fontId="2" fillId="0" borderId="0" xfId="0" applyFont="1" applyAlignment="1">
      <alignment horizontal="center"/>
    </xf>
    <xf numFmtId="164" fontId="0" fillId="0" borderId="0" xfId="1" applyNumberFormat="1" applyFont="1"/>
    <xf numFmtId="164" fontId="0" fillId="0" borderId="0" xfId="0" applyNumberFormat="1"/>
    <xf numFmtId="0" fontId="8" fillId="0" borderId="0" xfId="0" applyFont="1" applyAlignment="1">
      <alignment horizontal="left" vertical="center" readingOrder="1"/>
    </xf>
    <xf numFmtId="0" fontId="9" fillId="0" borderId="0" xfId="0" applyFont="1" applyAlignment="1">
      <alignment horizontal="left" vertical="center" readingOrder="1"/>
    </xf>
    <xf numFmtId="0" fontId="0" fillId="0" borderId="0" xfId="0" applyAlignment="1">
      <alignment horizontal="center"/>
    </xf>
    <xf numFmtId="164" fontId="1" fillId="3" borderId="0" xfId="1" applyNumberFormat="1" applyFont="1" applyFill="1"/>
    <xf numFmtId="0" fontId="10" fillId="3" borderId="0" xfId="0" applyFont="1" applyFill="1" applyAlignment="1">
      <alignment horizontal="left" vertical="center" readingOrder="1"/>
    </xf>
    <xf numFmtId="164" fontId="0" fillId="4" borderId="0" xfId="1" applyNumberFormat="1" applyFont="1" applyFill="1"/>
    <xf numFmtId="0" fontId="0" fillId="5" borderId="0" xfId="0" applyFill="1"/>
    <xf numFmtId="0" fontId="11" fillId="6" borderId="0" xfId="0" applyFont="1" applyFill="1"/>
    <xf numFmtId="0" fontId="0" fillId="7" borderId="0" xfId="0" applyFill="1"/>
    <xf numFmtId="165" fontId="0" fillId="0" borderId="0" xfId="0" applyNumberFormat="1"/>
    <xf numFmtId="0" fontId="6" fillId="0" borderId="2" xfId="0" applyFont="1" applyBorder="1" applyAlignment="1">
      <alignment horizontal="left"/>
    </xf>
    <xf numFmtId="0" fontId="6" fillId="0" borderId="0" xfId="0" applyFont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g_gain!$B$34</c:f>
              <c:strCache>
                <c:ptCount val="1"/>
                <c:pt idx="0">
                  <c:v>Baseline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g_gain!$K$33:$U$33</c:f>
              <c:numCache>
                <c:formatCode>General</c:formatCode>
                <c:ptCount val="1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</c:numCache>
            </c:numRef>
          </c:cat>
          <c:val>
            <c:numRef>
              <c:f>g_gain!$K$34:$U$34</c:f>
              <c:numCache>
                <c:formatCode>_(* #,##0.00_);_(* \(#,##0.00\);_(* "-"??_);_(@_)</c:formatCode>
                <c:ptCount val="1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60-45FA-BB4A-F5DB3EC38C02}"/>
            </c:ext>
          </c:extLst>
        </c:ser>
        <c:ser>
          <c:idx val="1"/>
          <c:order val="1"/>
          <c:tx>
            <c:strRef>
              <c:f>g_gain!$B$35</c:f>
              <c:strCache>
                <c:ptCount val="1"/>
                <c:pt idx="0">
                  <c:v>Nama Simulasi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g_gain!$K$33:$U$33</c:f>
              <c:numCache>
                <c:formatCode>General</c:formatCode>
                <c:ptCount val="1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</c:numCache>
            </c:numRef>
          </c:cat>
          <c:val>
            <c:numRef>
              <c:f>g_gain!$K$35:$U$35</c:f>
              <c:numCache>
                <c:formatCode>_(* #,##0.00_);_(* \(#,##0.00\);_(* "-"??_);_(@_)</c:formatCode>
                <c:ptCount val="1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60-45FA-BB4A-F5DB3EC38C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4224080"/>
        <c:axId val="314224640"/>
      </c:lineChart>
      <c:catAx>
        <c:axId val="314224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224640"/>
        <c:crosses val="autoZero"/>
        <c:auto val="1"/>
        <c:lblAlgn val="ctr"/>
        <c:lblOffset val="100"/>
        <c:noMultiLvlLbl val="0"/>
      </c:catAx>
      <c:valAx>
        <c:axId val="3142246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224080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makro!$W$7</c:f>
              <c:strCache>
                <c:ptCount val="1"/>
                <c:pt idx="0">
                  <c:v>GDP</c:v>
                </c:pt>
              </c:strCache>
            </c:strRef>
          </c:tx>
          <c:invertIfNegative val="0"/>
          <c:cat>
            <c:numRef>
              <c:f>makro!$X$6:$Z$6</c:f>
              <c:numCache>
                <c:formatCode>General</c:formatCode>
                <c:ptCount val="3"/>
                <c:pt idx="0">
                  <c:v>2026</c:v>
                </c:pt>
                <c:pt idx="1">
                  <c:v>2030</c:v>
                </c:pt>
                <c:pt idx="2">
                  <c:v>2035</c:v>
                </c:pt>
              </c:numCache>
            </c:numRef>
          </c:cat>
          <c:val>
            <c:numRef>
              <c:f>makro!$X$7:$Z$7</c:f>
              <c:numCache>
                <c:formatCode>0.000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A64A-4DCF-9C28-B00632F3BD93}"/>
            </c:ext>
          </c:extLst>
        </c:ser>
        <c:ser>
          <c:idx val="1"/>
          <c:order val="1"/>
          <c:tx>
            <c:strRef>
              <c:f>makro!$W$8</c:f>
              <c:strCache>
                <c:ptCount val="1"/>
                <c:pt idx="0">
                  <c:v>Household consumption</c:v>
                </c:pt>
              </c:strCache>
            </c:strRef>
          </c:tx>
          <c:invertIfNegative val="0"/>
          <c:cat>
            <c:numRef>
              <c:f>makro!$X$6:$Z$6</c:f>
              <c:numCache>
                <c:formatCode>General</c:formatCode>
                <c:ptCount val="3"/>
                <c:pt idx="0">
                  <c:v>2026</c:v>
                </c:pt>
                <c:pt idx="1">
                  <c:v>2030</c:v>
                </c:pt>
                <c:pt idx="2">
                  <c:v>2035</c:v>
                </c:pt>
              </c:numCache>
            </c:numRef>
          </c:cat>
          <c:val>
            <c:numRef>
              <c:f>makro!$X$8:$Z$8</c:f>
              <c:numCache>
                <c:formatCode>0.000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1-A64A-4DCF-9C28-B00632F3BD93}"/>
            </c:ext>
          </c:extLst>
        </c:ser>
        <c:ser>
          <c:idx val="2"/>
          <c:order val="2"/>
          <c:tx>
            <c:strRef>
              <c:f>makro!$W$9</c:f>
              <c:strCache>
                <c:ptCount val="1"/>
                <c:pt idx="0">
                  <c:v>CPI</c:v>
                </c:pt>
              </c:strCache>
            </c:strRef>
          </c:tx>
          <c:invertIfNegative val="0"/>
          <c:cat>
            <c:numRef>
              <c:f>makro!$X$6:$Z$6</c:f>
              <c:numCache>
                <c:formatCode>General</c:formatCode>
                <c:ptCount val="3"/>
                <c:pt idx="0">
                  <c:v>2026</c:v>
                </c:pt>
                <c:pt idx="1">
                  <c:v>2030</c:v>
                </c:pt>
                <c:pt idx="2">
                  <c:v>2035</c:v>
                </c:pt>
              </c:numCache>
            </c:numRef>
          </c:cat>
          <c:val>
            <c:numRef>
              <c:f>makro!$X$9:$Z$9</c:f>
              <c:numCache>
                <c:formatCode>0.000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2-A64A-4DCF-9C28-B00632F3BD93}"/>
            </c:ext>
          </c:extLst>
        </c:ser>
        <c:ser>
          <c:idx val="4"/>
          <c:order val="3"/>
          <c:tx>
            <c:strRef>
              <c:f>makro!$W$10</c:f>
              <c:strCache>
                <c:ptCount val="1"/>
                <c:pt idx="0">
                  <c:v>Employment</c:v>
                </c:pt>
              </c:strCache>
            </c:strRef>
          </c:tx>
          <c:invertIfNegative val="0"/>
          <c:cat>
            <c:numRef>
              <c:f>makro!$X$6:$Z$6</c:f>
              <c:numCache>
                <c:formatCode>General</c:formatCode>
                <c:ptCount val="3"/>
                <c:pt idx="0">
                  <c:v>2026</c:v>
                </c:pt>
                <c:pt idx="1">
                  <c:v>2030</c:v>
                </c:pt>
                <c:pt idx="2">
                  <c:v>2035</c:v>
                </c:pt>
              </c:numCache>
            </c:numRef>
          </c:cat>
          <c:val>
            <c:numRef>
              <c:f>makro!$X$10:$Z$10</c:f>
              <c:numCache>
                <c:formatCode>0.000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3-A64A-4DCF-9C28-B00632F3BD93}"/>
            </c:ext>
          </c:extLst>
        </c:ser>
        <c:ser>
          <c:idx val="5"/>
          <c:order val="4"/>
          <c:tx>
            <c:strRef>
              <c:f>makro!$W$11</c:f>
              <c:strCache>
                <c:ptCount val="1"/>
                <c:pt idx="0">
                  <c:v>Real Wage</c:v>
                </c:pt>
              </c:strCache>
            </c:strRef>
          </c:tx>
          <c:invertIfNegative val="0"/>
          <c:cat>
            <c:numRef>
              <c:f>makro!$X$6:$Z$6</c:f>
              <c:numCache>
                <c:formatCode>General</c:formatCode>
                <c:ptCount val="3"/>
                <c:pt idx="0">
                  <c:v>2026</c:v>
                </c:pt>
                <c:pt idx="1">
                  <c:v>2030</c:v>
                </c:pt>
                <c:pt idx="2">
                  <c:v>2035</c:v>
                </c:pt>
              </c:numCache>
            </c:numRef>
          </c:cat>
          <c:val>
            <c:numRef>
              <c:f>makro!$X$11:$Z$11</c:f>
              <c:numCache>
                <c:formatCode>0.000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4-A64A-4DCF-9C28-B00632F3BD93}"/>
            </c:ext>
          </c:extLst>
        </c:ser>
        <c:ser>
          <c:idx val="3"/>
          <c:order val="5"/>
          <c:tx>
            <c:strRef>
              <c:f>makro!$W$12</c:f>
              <c:strCache>
                <c:ptCount val="1"/>
                <c:pt idx="0">
                  <c:v>Inclusivity Index 1</c:v>
                </c:pt>
              </c:strCache>
            </c:strRef>
          </c:tx>
          <c:invertIfNegative val="0"/>
          <c:cat>
            <c:numRef>
              <c:f>makro!$X$6:$Z$6</c:f>
              <c:numCache>
                <c:formatCode>General</c:formatCode>
                <c:ptCount val="3"/>
                <c:pt idx="0">
                  <c:v>2026</c:v>
                </c:pt>
                <c:pt idx="1">
                  <c:v>2030</c:v>
                </c:pt>
                <c:pt idx="2">
                  <c:v>2035</c:v>
                </c:pt>
              </c:numCache>
            </c:numRef>
          </c:cat>
          <c:val>
            <c:numRef>
              <c:f>makro!$X$12:$Z$12</c:f>
              <c:numCache>
                <c:formatCode>0.000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64A-4DCF-9C28-B00632F3BD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3355600"/>
        <c:axId val="313356160"/>
      </c:barChart>
      <c:catAx>
        <c:axId val="31335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crossAx val="313356160"/>
        <c:crosses val="autoZero"/>
        <c:auto val="1"/>
        <c:lblAlgn val="ctr"/>
        <c:lblOffset val="100"/>
        <c:noMultiLvlLbl val="0"/>
      </c:catAx>
      <c:valAx>
        <c:axId val="3133561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Deviation from baseline (%)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crossAx val="313355600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Gill Sans MT" pitchFamily="34" charset="0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makro!$W$37</c:f>
              <c:strCache>
                <c:ptCount val="1"/>
                <c:pt idx="0">
                  <c:v>GDP</c:v>
                </c:pt>
              </c:strCache>
            </c:strRef>
          </c:tx>
          <c:invertIfNegative val="0"/>
          <c:cat>
            <c:strRef>
              <c:f>makro!$Y$36:$AA$36</c:f>
              <c:strCache>
                <c:ptCount val="3"/>
                <c:pt idx="0">
                  <c:v>ROS</c:v>
                </c:pt>
                <c:pt idx="1">
                  <c:v>ROI</c:v>
                </c:pt>
                <c:pt idx="2">
                  <c:v>National</c:v>
                </c:pt>
              </c:strCache>
            </c:strRef>
          </c:cat>
          <c:val>
            <c:numRef>
              <c:f>makro!$Y$37:$AA$37</c:f>
              <c:numCache>
                <c:formatCode>0.000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2E18-43F9-9E33-194EDFC544F4}"/>
            </c:ext>
          </c:extLst>
        </c:ser>
        <c:ser>
          <c:idx val="1"/>
          <c:order val="1"/>
          <c:tx>
            <c:strRef>
              <c:f>makro!$W$38</c:f>
              <c:strCache>
                <c:ptCount val="1"/>
                <c:pt idx="0">
                  <c:v>Household consumption</c:v>
                </c:pt>
              </c:strCache>
            </c:strRef>
          </c:tx>
          <c:invertIfNegative val="0"/>
          <c:cat>
            <c:strRef>
              <c:f>makro!$Y$36:$AA$36</c:f>
              <c:strCache>
                <c:ptCount val="3"/>
                <c:pt idx="0">
                  <c:v>ROS</c:v>
                </c:pt>
                <c:pt idx="1">
                  <c:v>ROI</c:v>
                </c:pt>
                <c:pt idx="2">
                  <c:v>National</c:v>
                </c:pt>
              </c:strCache>
            </c:strRef>
          </c:cat>
          <c:val>
            <c:numRef>
              <c:f>makro!$Y$38:$AA$38</c:f>
              <c:numCache>
                <c:formatCode>0.000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6-2E18-43F9-9E33-194EDFC544F4}"/>
            </c:ext>
          </c:extLst>
        </c:ser>
        <c:ser>
          <c:idx val="2"/>
          <c:order val="2"/>
          <c:tx>
            <c:strRef>
              <c:f>makro!$W$39</c:f>
              <c:strCache>
                <c:ptCount val="1"/>
                <c:pt idx="0">
                  <c:v>CPI</c:v>
                </c:pt>
              </c:strCache>
            </c:strRef>
          </c:tx>
          <c:invertIfNegative val="0"/>
          <c:cat>
            <c:strRef>
              <c:f>makro!$Y$36:$AA$36</c:f>
              <c:strCache>
                <c:ptCount val="3"/>
                <c:pt idx="0">
                  <c:v>ROS</c:v>
                </c:pt>
                <c:pt idx="1">
                  <c:v>ROI</c:v>
                </c:pt>
                <c:pt idx="2">
                  <c:v>National</c:v>
                </c:pt>
              </c:strCache>
            </c:strRef>
          </c:cat>
          <c:val>
            <c:numRef>
              <c:f>makro!$Y$39:$AA$39</c:f>
              <c:numCache>
                <c:formatCode>0.000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7-2E18-43F9-9E33-194EDFC544F4}"/>
            </c:ext>
          </c:extLst>
        </c:ser>
        <c:ser>
          <c:idx val="3"/>
          <c:order val="3"/>
          <c:tx>
            <c:strRef>
              <c:f>makro!$W$40</c:f>
              <c:strCache>
                <c:ptCount val="1"/>
                <c:pt idx="0">
                  <c:v>Employment</c:v>
                </c:pt>
              </c:strCache>
            </c:strRef>
          </c:tx>
          <c:invertIfNegative val="0"/>
          <c:cat>
            <c:strRef>
              <c:f>makro!$Y$36:$AA$36</c:f>
              <c:strCache>
                <c:ptCount val="3"/>
                <c:pt idx="0">
                  <c:v>ROS</c:v>
                </c:pt>
                <c:pt idx="1">
                  <c:v>ROI</c:v>
                </c:pt>
                <c:pt idx="2">
                  <c:v>National</c:v>
                </c:pt>
              </c:strCache>
            </c:strRef>
          </c:cat>
          <c:val>
            <c:numRef>
              <c:f>makro!$Y$40:$AA$40</c:f>
              <c:numCache>
                <c:formatCode>0.000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8-2E18-43F9-9E33-194EDFC544F4}"/>
            </c:ext>
          </c:extLst>
        </c:ser>
        <c:ser>
          <c:idx val="4"/>
          <c:order val="4"/>
          <c:tx>
            <c:strRef>
              <c:f>makro!$W$41</c:f>
              <c:strCache>
                <c:ptCount val="1"/>
                <c:pt idx="0">
                  <c:v>Real Wage</c:v>
                </c:pt>
              </c:strCache>
            </c:strRef>
          </c:tx>
          <c:invertIfNegative val="0"/>
          <c:cat>
            <c:strRef>
              <c:f>makro!$Y$36:$AA$36</c:f>
              <c:strCache>
                <c:ptCount val="3"/>
                <c:pt idx="0">
                  <c:v>ROS</c:v>
                </c:pt>
                <c:pt idx="1">
                  <c:v>ROI</c:v>
                </c:pt>
                <c:pt idx="2">
                  <c:v>National</c:v>
                </c:pt>
              </c:strCache>
            </c:strRef>
          </c:cat>
          <c:val>
            <c:numRef>
              <c:f>makro!$Y$41:$AA$41</c:f>
              <c:numCache>
                <c:formatCode>0.000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E18-43F9-9E33-194EDFC544F4}"/>
            </c:ext>
          </c:extLst>
        </c:ser>
        <c:ser>
          <c:idx val="5"/>
          <c:order val="5"/>
          <c:tx>
            <c:strRef>
              <c:f>makro!$W$42</c:f>
              <c:strCache>
                <c:ptCount val="1"/>
              </c:strCache>
            </c:strRef>
          </c:tx>
          <c:invertIfNegative val="0"/>
          <c:cat>
            <c:strRef>
              <c:f>makro!$Y$36:$AA$36</c:f>
              <c:strCache>
                <c:ptCount val="3"/>
                <c:pt idx="0">
                  <c:v>ROS</c:v>
                </c:pt>
                <c:pt idx="1">
                  <c:v>ROI</c:v>
                </c:pt>
                <c:pt idx="2">
                  <c:v>National</c:v>
                </c:pt>
              </c:strCache>
            </c:strRef>
          </c:cat>
          <c:val>
            <c:numRef>
              <c:f>makro!$Y$42:$AA$42</c:f>
              <c:numCache>
                <c:formatCode>0.000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A-2E18-43F9-9E33-194EDFC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266885344"/>
        <c:axId val="313286896"/>
      </c:barChart>
      <c:catAx>
        <c:axId val="26688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313286896"/>
        <c:crosses val="autoZero"/>
        <c:auto val="1"/>
        <c:lblAlgn val="ctr"/>
        <c:lblOffset val="100"/>
        <c:noMultiLvlLbl val="0"/>
      </c:catAx>
      <c:valAx>
        <c:axId val="31328689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Deviation from gaseline (%)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spPr>
          <a:ln w="9525">
            <a:noFill/>
          </a:ln>
        </c:spPr>
        <c:crossAx val="266885344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spPr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sektoral!$AB$42:$AB$71</c:f>
              <c:strCache>
                <c:ptCount val="30"/>
                <c:pt idx="0">
                  <c:v>Rice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strCache>
            </c:strRef>
          </c:cat>
          <c:val>
            <c:numRef>
              <c:f>sektoral!$AC$42:$AC$71</c:f>
              <c:numCache>
                <c:formatCode>General</c:formatCode>
                <c:ptCount val="30"/>
                <c:pt idx="0">
                  <c:v>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0B-4ACF-BEEB-5A778AB8D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53903264"/>
        <c:axId val="52768432"/>
      </c:barChart>
      <c:catAx>
        <c:axId val="15390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Footlight MT Light" panose="0204060206030A020304" pitchFamily="18" charset="0"/>
                <a:ea typeface="+mn-ea"/>
                <a:cs typeface="+mn-cs"/>
              </a:defRPr>
            </a:pPr>
            <a:endParaRPr lang="en-US"/>
          </a:p>
        </c:txPr>
        <c:crossAx val="52768432"/>
        <c:crosses val="autoZero"/>
        <c:auto val="1"/>
        <c:lblAlgn val="ctr"/>
        <c:lblOffset val="100"/>
        <c:noMultiLvlLbl val="0"/>
      </c:catAx>
      <c:valAx>
        <c:axId val="5276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Footlight MT Light" panose="0204060206030A020304" pitchFamily="18" charset="0"/>
                <a:ea typeface="+mn-ea"/>
                <a:cs typeface="+mn-cs"/>
              </a:defRPr>
            </a:pPr>
            <a:endParaRPr lang="en-US"/>
          </a:p>
        </c:txPr>
        <c:crossAx val="153903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latin typeface="Footlight MT Light" panose="0204060206030A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sektoral!$AB$6:$AB$35</c:f>
              <c:strCache>
                <c:ptCount val="30"/>
                <c:pt idx="0">
                  <c:v>Rice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strCache>
            </c:strRef>
          </c:cat>
          <c:val>
            <c:numRef>
              <c:f>sektoral!$AC$6:$AC$35</c:f>
              <c:numCache>
                <c:formatCode>General</c:formatCode>
                <c:ptCount val="30"/>
                <c:pt idx="0">
                  <c:v>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53-4810-B2F5-1CE33E01D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53903264"/>
        <c:axId val="52768432"/>
      </c:barChart>
      <c:catAx>
        <c:axId val="15390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Footlight MT Light" panose="0204060206030A020304" pitchFamily="18" charset="0"/>
                <a:ea typeface="+mn-ea"/>
                <a:cs typeface="+mn-cs"/>
              </a:defRPr>
            </a:pPr>
            <a:endParaRPr lang="en-US"/>
          </a:p>
        </c:txPr>
        <c:crossAx val="52768432"/>
        <c:crosses val="autoZero"/>
        <c:auto val="1"/>
        <c:lblAlgn val="ctr"/>
        <c:lblOffset val="100"/>
        <c:noMultiLvlLbl val="0"/>
      </c:catAx>
      <c:valAx>
        <c:axId val="5276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Footlight MT Light" panose="0204060206030A020304" pitchFamily="18" charset="0"/>
                <a:ea typeface="+mn-ea"/>
                <a:cs typeface="+mn-cs"/>
              </a:defRPr>
            </a:pPr>
            <a:endParaRPr lang="en-US"/>
          </a:p>
        </c:txPr>
        <c:crossAx val="153903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latin typeface="Footlight MT Light" panose="0204060206030A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Inclusivity Index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Inclusiv1!$A$27</c:f>
              <c:strCache>
                <c:ptCount val="1"/>
                <c:pt idx="0">
                  <c:v>Nama Simulasi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Inclusiv1!$K$27:$T$27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6F-44C7-930F-E2E4CE5EA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8425632"/>
        <c:axId val="668419872"/>
        <c:extLst/>
      </c:lineChart>
      <c:catAx>
        <c:axId val="66842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419872"/>
        <c:crosses val="autoZero"/>
        <c:auto val="1"/>
        <c:lblAlgn val="ctr"/>
        <c:lblOffset val="100"/>
        <c:noMultiLvlLbl val="0"/>
      </c:catAx>
      <c:valAx>
        <c:axId val="668419872"/>
        <c:scaling>
          <c:orientation val="minMax"/>
        </c:scaling>
        <c:delete val="0"/>
        <c:axPos val="l"/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4256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Inclusivity Index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Inclusiv2!$A$25</c:f>
              <c:strCache>
                <c:ptCount val="1"/>
                <c:pt idx="0">
                  <c:v>Nama Simulasi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Inclusiv2!$B$23:$K$23</c:f>
              <c:numCache>
                <c:formatCode>General</c:formatCod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numCache>
            </c:numRef>
          </c:cat>
          <c:val>
            <c:numRef>
              <c:f>Inclusiv2!$B$25:$K$25</c:f>
              <c:numCache>
                <c:formatCode>0.00000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2D-46E6-9BF9-EE7007CF80CA}"/>
            </c:ext>
          </c:extLst>
        </c:ser>
        <c:ser>
          <c:idx val="0"/>
          <c:order val="1"/>
          <c:tx>
            <c:strRef>
              <c:f>Inclusiv2!$A$24</c:f>
              <c:strCache>
                <c:ptCount val="1"/>
                <c:pt idx="0">
                  <c:v>Baseline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Inclusiv2!$B$24:$K$24</c:f>
              <c:numCache>
                <c:formatCode>0.00000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95-4270-AB77-D92A8638C1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5476031"/>
        <c:axId val="984433727"/>
      </c:lineChart>
      <c:catAx>
        <c:axId val="121547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433727"/>
        <c:crosses val="autoZero"/>
        <c:auto val="1"/>
        <c:lblAlgn val="ctr"/>
        <c:lblOffset val="100"/>
        <c:noMultiLvlLbl val="0"/>
      </c:catAx>
      <c:valAx>
        <c:axId val="984433727"/>
        <c:scaling>
          <c:orientation val="minMax"/>
        </c:scaling>
        <c:delete val="0"/>
        <c:axPos val="l"/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47603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11</xdr:col>
      <xdr:colOff>340429</xdr:colOff>
      <xdr:row>21</xdr:row>
      <xdr:rowOff>152330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4F8BC59-45D0-4D75-BDFE-5DF6810F5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6436429" cy="3390830"/>
        </a:xfrm>
        <a:prstGeom prst="rect">
          <a:avLst/>
        </a:prstGeom>
      </xdr:spPr>
    </xdr:pic>
    <xdr:clientData/>
  </xdr:twoCellAnchor>
  <xdr:twoCellAnchor>
    <xdr:from>
      <xdr:col>1</xdr:col>
      <xdr:colOff>123826</xdr:colOff>
      <xdr:row>10</xdr:row>
      <xdr:rowOff>95250</xdr:rowOff>
    </xdr:from>
    <xdr:to>
      <xdr:col>2</xdr:col>
      <xdr:colOff>409576</xdr:colOff>
      <xdr:row>12</xdr:row>
      <xdr:rowOff>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76288AEA-32BC-81EC-EF00-9AF6F6FF8FC4}"/>
            </a:ext>
          </a:extLst>
        </xdr:cNvPr>
        <xdr:cNvSpPr/>
      </xdr:nvSpPr>
      <xdr:spPr>
        <a:xfrm>
          <a:off x="733426" y="1809750"/>
          <a:ext cx="895350" cy="285750"/>
        </a:xfrm>
        <a:prstGeom prst="ellipse">
          <a:avLst/>
        </a:prstGeom>
        <a:noFill/>
        <a:ln>
          <a:prstDash val="dash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104776</xdr:colOff>
      <xdr:row>10</xdr:row>
      <xdr:rowOff>133350</xdr:rowOff>
    </xdr:from>
    <xdr:to>
      <xdr:col>4</xdr:col>
      <xdr:colOff>238126</xdr:colOff>
      <xdr:row>12</xdr:row>
      <xdr:rowOff>38100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EAB82E55-B0C2-41FE-906D-3443CC4F4803}"/>
            </a:ext>
          </a:extLst>
        </xdr:cNvPr>
        <xdr:cNvSpPr/>
      </xdr:nvSpPr>
      <xdr:spPr>
        <a:xfrm>
          <a:off x="1933576" y="1847850"/>
          <a:ext cx="742950" cy="285750"/>
        </a:xfrm>
        <a:prstGeom prst="ellipse">
          <a:avLst/>
        </a:prstGeom>
        <a:noFill/>
        <a:ln>
          <a:prstDash val="dash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581025</xdr:colOff>
      <xdr:row>7</xdr:row>
      <xdr:rowOff>171450</xdr:rowOff>
    </xdr:from>
    <xdr:to>
      <xdr:col>3</xdr:col>
      <xdr:colOff>361950</xdr:colOff>
      <xdr:row>9</xdr:row>
      <xdr:rowOff>76200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B5DFC058-485F-45C5-AA01-42135623B9D8}"/>
            </a:ext>
          </a:extLst>
        </xdr:cNvPr>
        <xdr:cNvSpPr/>
      </xdr:nvSpPr>
      <xdr:spPr>
        <a:xfrm>
          <a:off x="1800225" y="1314450"/>
          <a:ext cx="390525" cy="285750"/>
        </a:xfrm>
        <a:prstGeom prst="ellipse">
          <a:avLst/>
        </a:prstGeom>
        <a:noFill/>
        <a:ln>
          <a:prstDash val="dash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323851</xdr:colOff>
      <xdr:row>10</xdr:row>
      <xdr:rowOff>123825</xdr:rowOff>
    </xdr:from>
    <xdr:to>
      <xdr:col>5</xdr:col>
      <xdr:colOff>590551</xdr:colOff>
      <xdr:row>12</xdr:row>
      <xdr:rowOff>28575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58621128-F7B5-46E7-A471-CD33A35058FB}"/>
            </a:ext>
          </a:extLst>
        </xdr:cNvPr>
        <xdr:cNvSpPr/>
      </xdr:nvSpPr>
      <xdr:spPr>
        <a:xfrm>
          <a:off x="2762251" y="1838325"/>
          <a:ext cx="876300" cy="285750"/>
        </a:xfrm>
        <a:prstGeom prst="ellipse">
          <a:avLst/>
        </a:prstGeom>
        <a:noFill/>
        <a:ln>
          <a:prstDash val="dash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16</xdr:col>
      <xdr:colOff>76200</xdr:colOff>
      <xdr:row>4</xdr:row>
      <xdr:rowOff>0</xdr:rowOff>
    </xdr:from>
    <xdr:to>
      <xdr:col>23</xdr:col>
      <xdr:colOff>179926</xdr:colOff>
      <xdr:row>22</xdr:row>
      <xdr:rowOff>39760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AC2A114-1E91-287E-8750-E50B3A018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29800" y="571500"/>
          <a:ext cx="4370926" cy="3468760"/>
        </a:xfrm>
        <a:prstGeom prst="rect">
          <a:avLst/>
        </a:prstGeom>
      </xdr:spPr>
    </xdr:pic>
    <xdr:clientData/>
  </xdr:twoCellAnchor>
  <xdr:twoCellAnchor editAs="oneCell">
    <xdr:from>
      <xdr:col>13</xdr:col>
      <xdr:colOff>400051</xdr:colOff>
      <xdr:row>2</xdr:row>
      <xdr:rowOff>180974</xdr:rowOff>
    </xdr:from>
    <xdr:to>
      <xdr:col>15</xdr:col>
      <xdr:colOff>361503</xdr:colOff>
      <xdr:row>13</xdr:row>
      <xdr:rowOff>47625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7154844-DE98-532B-B010-54B6C71891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24851" y="561974"/>
          <a:ext cx="1180652" cy="1962151"/>
        </a:xfrm>
        <a:prstGeom prst="rect">
          <a:avLst/>
        </a:prstGeom>
      </xdr:spPr>
    </xdr:pic>
    <xdr:clientData/>
  </xdr:twoCellAnchor>
  <xdr:twoCellAnchor>
    <xdr:from>
      <xdr:col>16</xdr:col>
      <xdr:colOff>219075</xdr:colOff>
      <xdr:row>5</xdr:row>
      <xdr:rowOff>0</xdr:rowOff>
    </xdr:from>
    <xdr:to>
      <xdr:col>17</xdr:col>
      <xdr:colOff>361950</xdr:colOff>
      <xdr:row>5</xdr:row>
      <xdr:rowOff>180975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95821C2-51B0-9BFE-58E3-F4B870EED33B}"/>
            </a:ext>
          </a:extLst>
        </xdr:cNvPr>
        <xdr:cNvSpPr/>
      </xdr:nvSpPr>
      <xdr:spPr>
        <a:xfrm>
          <a:off x="9972675" y="762000"/>
          <a:ext cx="752475" cy="180975"/>
        </a:xfrm>
        <a:prstGeom prst="rect">
          <a:avLst/>
        </a:prstGeom>
        <a:noFill/>
        <a:ln w="28575"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361503</xdr:colOff>
      <xdr:row>5</xdr:row>
      <xdr:rowOff>90488</xdr:rowOff>
    </xdr:from>
    <xdr:to>
      <xdr:col>16</xdr:col>
      <xdr:colOff>219075</xdr:colOff>
      <xdr:row>8</xdr:row>
      <xdr:rowOff>19050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B720506D-CA10-FF2E-0ABD-174BD4FB4766}"/>
            </a:ext>
          </a:extLst>
        </xdr:cNvPr>
        <xdr:cNvCxnSpPr>
          <a:stCxn id="12" idx="1"/>
          <a:endCxn id="11" idx="3"/>
        </xdr:cNvCxnSpPr>
      </xdr:nvCxnSpPr>
      <xdr:spPr>
        <a:xfrm flipH="1">
          <a:off x="9505503" y="1042988"/>
          <a:ext cx="467172" cy="50006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542925</xdr:colOff>
      <xdr:row>5</xdr:row>
      <xdr:rowOff>19051</xdr:rowOff>
    </xdr:from>
    <xdr:to>
      <xdr:col>19</xdr:col>
      <xdr:colOff>85725</xdr:colOff>
      <xdr:row>6</xdr:row>
      <xdr:rowOff>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7F949F43-6059-4181-B161-1533776D2B07}"/>
            </a:ext>
          </a:extLst>
        </xdr:cNvPr>
        <xdr:cNvSpPr/>
      </xdr:nvSpPr>
      <xdr:spPr>
        <a:xfrm>
          <a:off x="10906125" y="781051"/>
          <a:ext cx="762000" cy="171450"/>
        </a:xfrm>
        <a:prstGeom prst="rect">
          <a:avLst/>
        </a:prstGeom>
        <a:noFill/>
        <a:ln w="28575">
          <a:solidFill>
            <a:srgbClr val="FF000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13</xdr:col>
      <xdr:colOff>400050</xdr:colOff>
      <xdr:row>14</xdr:row>
      <xdr:rowOff>67229</xdr:rowOff>
    </xdr:from>
    <xdr:to>
      <xdr:col>15</xdr:col>
      <xdr:colOff>390525</xdr:colOff>
      <xdr:row>19</xdr:row>
      <xdr:rowOff>124153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B5EE7F75-341B-86E3-AB41-E6894EC2C2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324850" y="2734229"/>
          <a:ext cx="1209675" cy="1009424"/>
        </a:xfrm>
        <a:prstGeom prst="rect">
          <a:avLst/>
        </a:prstGeom>
      </xdr:spPr>
    </xdr:pic>
    <xdr:clientData/>
  </xdr:twoCellAnchor>
  <xdr:twoCellAnchor>
    <xdr:from>
      <xdr:col>15</xdr:col>
      <xdr:colOff>390525</xdr:colOff>
      <xdr:row>6</xdr:row>
      <xdr:rowOff>1</xdr:rowOff>
    </xdr:from>
    <xdr:to>
      <xdr:col>18</xdr:col>
      <xdr:colOff>314325</xdr:colOff>
      <xdr:row>17</xdr:row>
      <xdr:rowOff>441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2DE44F38-F20C-407B-A925-16EE3201321F}"/>
            </a:ext>
          </a:extLst>
        </xdr:cNvPr>
        <xdr:cNvCxnSpPr>
          <a:stCxn id="19" idx="2"/>
          <a:endCxn id="21" idx="3"/>
        </xdr:cNvCxnSpPr>
      </xdr:nvCxnSpPr>
      <xdr:spPr>
        <a:xfrm flipH="1">
          <a:off x="9534525" y="1143001"/>
          <a:ext cx="1752600" cy="209594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95250</xdr:colOff>
      <xdr:row>3</xdr:row>
      <xdr:rowOff>123825</xdr:rowOff>
    </xdr:from>
    <xdr:to>
      <xdr:col>28</xdr:col>
      <xdr:colOff>171451</xdr:colOff>
      <xdr:row>12</xdr:row>
      <xdr:rowOff>182712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BFB5AA7F-2C1F-B0B8-6394-D7DB7FBB2443}"/>
            </a:ext>
          </a:extLst>
        </xdr:cNvPr>
        <xdr:cNvGrpSpPr/>
      </xdr:nvGrpSpPr>
      <xdr:grpSpPr>
        <a:xfrm>
          <a:off x="15897679" y="668111"/>
          <a:ext cx="1291772" cy="1691744"/>
          <a:chOff x="14630400" y="190500"/>
          <a:chExt cx="1295401" cy="1773387"/>
        </a:xfrm>
      </xdr:grpSpPr>
      <xdr:pic>
        <xdr:nvPicPr>
          <xdr:cNvPr id="30" name="Picture 29">
            <a:extLst>
              <a:ext uri="{FF2B5EF4-FFF2-40B4-BE49-F238E27FC236}">
                <a16:creationId xmlns:a16="http://schemas.microsoft.com/office/drawing/2014/main" id="{CF0F3F5F-B309-33A3-9C01-15094DDAF67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4639925" y="457199"/>
            <a:ext cx="1266825" cy="275397"/>
          </a:xfrm>
          <a:prstGeom prst="rect">
            <a:avLst/>
          </a:prstGeom>
        </xdr:spPr>
      </xdr:pic>
      <xdr:pic>
        <xdr:nvPicPr>
          <xdr:cNvPr id="31" name="Picture 30">
            <a:extLst>
              <a:ext uri="{FF2B5EF4-FFF2-40B4-BE49-F238E27FC236}">
                <a16:creationId xmlns:a16="http://schemas.microsoft.com/office/drawing/2014/main" id="{6362650C-F57D-DF2A-D5A8-96AF91B1F41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4649450" y="685800"/>
            <a:ext cx="1276350" cy="328204"/>
          </a:xfrm>
          <a:prstGeom prst="rect">
            <a:avLst/>
          </a:prstGeom>
        </xdr:spPr>
      </xdr:pic>
      <xdr:pic>
        <xdr:nvPicPr>
          <xdr:cNvPr id="32" name="Picture 31">
            <a:extLst>
              <a:ext uri="{FF2B5EF4-FFF2-40B4-BE49-F238E27FC236}">
                <a16:creationId xmlns:a16="http://schemas.microsoft.com/office/drawing/2014/main" id="{8B94AEF5-2C7D-0177-9F5D-7BBA82E1053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4630400" y="190500"/>
            <a:ext cx="1295400" cy="257306"/>
          </a:xfrm>
          <a:prstGeom prst="rect">
            <a:avLst/>
          </a:prstGeom>
        </xdr:spPr>
      </xdr:pic>
      <xdr:pic>
        <xdr:nvPicPr>
          <xdr:cNvPr id="33" name="Picture 32">
            <a:extLst>
              <a:ext uri="{FF2B5EF4-FFF2-40B4-BE49-F238E27FC236}">
                <a16:creationId xmlns:a16="http://schemas.microsoft.com/office/drawing/2014/main" id="{FA669834-48D7-83C8-9778-82E49128889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4630401" y="1143000"/>
            <a:ext cx="1295400" cy="236323"/>
          </a:xfrm>
          <a:prstGeom prst="rect">
            <a:avLst/>
          </a:prstGeom>
        </xdr:spPr>
      </xdr:pic>
      <xdr:pic>
        <xdr:nvPicPr>
          <xdr:cNvPr id="34" name="Picture 33">
            <a:extLst>
              <a:ext uri="{FF2B5EF4-FFF2-40B4-BE49-F238E27FC236}">
                <a16:creationId xmlns:a16="http://schemas.microsoft.com/office/drawing/2014/main" id="{E28EEB7A-B306-C1C9-8752-D3520D69391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14649449" y="1419225"/>
            <a:ext cx="1228725" cy="229834"/>
          </a:xfrm>
          <a:prstGeom prst="rect">
            <a:avLst/>
          </a:prstGeom>
        </xdr:spPr>
      </xdr:pic>
      <xdr:pic>
        <xdr:nvPicPr>
          <xdr:cNvPr id="35" name="Picture 34">
            <a:extLst>
              <a:ext uri="{FF2B5EF4-FFF2-40B4-BE49-F238E27FC236}">
                <a16:creationId xmlns:a16="http://schemas.microsoft.com/office/drawing/2014/main" id="{EAE2ABDA-E464-CD93-921E-519F6ED7ECB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14639926" y="1704975"/>
            <a:ext cx="1266824" cy="258912"/>
          </a:xfrm>
          <a:prstGeom prst="rect">
            <a:avLst/>
          </a:prstGeom>
        </xdr:spPr>
      </xdr:pic>
    </xdr:grpSp>
    <xdr:clientData/>
  </xdr:twoCellAnchor>
  <xdr:twoCellAnchor>
    <xdr:from>
      <xdr:col>20</xdr:col>
      <xdr:colOff>238125</xdr:colOff>
      <xdr:row>5</xdr:row>
      <xdr:rowOff>0</xdr:rowOff>
    </xdr:from>
    <xdr:to>
      <xdr:col>21</xdr:col>
      <xdr:colOff>390525</xdr:colOff>
      <xdr:row>5</xdr:row>
      <xdr:rowOff>171450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F0579BAD-C42C-4480-AF53-42CB8A3DBED7}"/>
            </a:ext>
          </a:extLst>
        </xdr:cNvPr>
        <xdr:cNvSpPr/>
      </xdr:nvSpPr>
      <xdr:spPr>
        <a:xfrm>
          <a:off x="12430125" y="762000"/>
          <a:ext cx="762000" cy="171450"/>
        </a:xfrm>
        <a:prstGeom prst="rect">
          <a:avLst/>
        </a:prstGeom>
        <a:noFill/>
        <a:ln w="28575">
          <a:solidFill>
            <a:schemeClr val="accent6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390525</xdr:colOff>
      <xdr:row>5</xdr:row>
      <xdr:rowOff>85725</xdr:rowOff>
    </xdr:from>
    <xdr:to>
      <xdr:col>23</xdr:col>
      <xdr:colOff>247650</xdr:colOff>
      <xdr:row>6</xdr:row>
      <xdr:rowOff>23813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F6B51510-2CD3-49E9-9834-7AC6E63FF047}"/>
            </a:ext>
          </a:extLst>
        </xdr:cNvPr>
        <xdr:cNvCxnSpPr>
          <a:stCxn id="37" idx="3"/>
          <a:endCxn id="42" idx="1"/>
        </xdr:cNvCxnSpPr>
      </xdr:nvCxnSpPr>
      <xdr:spPr>
        <a:xfrm>
          <a:off x="13192125" y="1038225"/>
          <a:ext cx="1076325" cy="128588"/>
        </a:xfrm>
        <a:prstGeom prst="straightConnector1">
          <a:avLst/>
        </a:prstGeom>
        <a:ln>
          <a:solidFill>
            <a:schemeClr val="accent6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247650</xdr:colOff>
      <xdr:row>3</xdr:row>
      <xdr:rowOff>104775</xdr:rowOff>
    </xdr:from>
    <xdr:to>
      <xdr:col>25</xdr:col>
      <xdr:colOff>485776</xdr:colOff>
      <xdr:row>8</xdr:row>
      <xdr:rowOff>133350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89F3073C-0E71-479F-9FD3-1461E2FCF943}"/>
            </a:ext>
          </a:extLst>
        </xdr:cNvPr>
        <xdr:cNvSpPr/>
      </xdr:nvSpPr>
      <xdr:spPr>
        <a:xfrm>
          <a:off x="14268450" y="676275"/>
          <a:ext cx="1457326" cy="981075"/>
        </a:xfrm>
        <a:prstGeom prst="rect">
          <a:avLst/>
        </a:prstGeom>
        <a:noFill/>
        <a:ln w="28575">
          <a:solidFill>
            <a:schemeClr val="accent6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tx1">
                  <a:lumMod val="95000"/>
                  <a:lumOff val="5000"/>
                </a:schemeClr>
              </a:solidFill>
            </a:rPr>
            <a:t>Klik Kanan untuk merubah B ke P ke D</a:t>
          </a:r>
        </a:p>
        <a:p>
          <a:pPr algn="l"/>
          <a:r>
            <a:rPr lang="en-US" sz="1100" b="1">
              <a:solidFill>
                <a:srgbClr val="FF0000"/>
              </a:solidFill>
            </a:rPr>
            <a:t>Klik Kiri untuk merubah Cum ke YonY</a:t>
          </a:r>
        </a:p>
      </xdr:txBody>
    </xdr:sp>
    <xdr:clientData/>
  </xdr:twoCellAnchor>
  <xdr:twoCellAnchor>
    <xdr:from>
      <xdr:col>11</xdr:col>
      <xdr:colOff>523875</xdr:colOff>
      <xdr:row>11</xdr:row>
      <xdr:rowOff>38100</xdr:rowOff>
    </xdr:from>
    <xdr:to>
      <xdr:col>12</xdr:col>
      <xdr:colOff>590550</xdr:colOff>
      <xdr:row>12</xdr:row>
      <xdr:rowOff>104775</xdr:rowOff>
    </xdr:to>
    <xdr:sp macro="" textlink="">
      <xdr:nvSpPr>
        <xdr:cNvPr id="49" name="Arrow: Right 48">
          <a:extLst>
            <a:ext uri="{FF2B5EF4-FFF2-40B4-BE49-F238E27FC236}">
              <a16:creationId xmlns:a16="http://schemas.microsoft.com/office/drawing/2014/main" id="{2288A333-7F6F-14BC-6B51-A04E2547369A}"/>
            </a:ext>
          </a:extLst>
        </xdr:cNvPr>
        <xdr:cNvSpPr/>
      </xdr:nvSpPr>
      <xdr:spPr>
        <a:xfrm>
          <a:off x="7229475" y="2133600"/>
          <a:ext cx="676275" cy="2571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24</xdr:col>
      <xdr:colOff>0</xdr:colOff>
      <xdr:row>15</xdr:row>
      <xdr:rowOff>0</xdr:rowOff>
    </xdr:from>
    <xdr:to>
      <xdr:col>26</xdr:col>
      <xdr:colOff>552450</xdr:colOff>
      <xdr:row>20</xdr:row>
      <xdr:rowOff>17302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E93D3FD1-F733-4C40-91E6-C860B2706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4630400" y="2857500"/>
          <a:ext cx="1771650" cy="969802"/>
        </a:xfrm>
        <a:prstGeom prst="rect">
          <a:avLst/>
        </a:prstGeom>
      </xdr:spPr>
    </xdr:pic>
    <xdr:clientData/>
  </xdr:twoCellAnchor>
  <xdr:twoCellAnchor editAs="oneCell">
    <xdr:from>
      <xdr:col>13</xdr:col>
      <xdr:colOff>1</xdr:colOff>
      <xdr:row>25</xdr:row>
      <xdr:rowOff>0</xdr:rowOff>
    </xdr:from>
    <xdr:to>
      <xdr:col>14</xdr:col>
      <xdr:colOff>552451</xdr:colOff>
      <xdr:row>36</xdr:row>
      <xdr:rowOff>47625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9F51A490-0D36-4A7E-A4FA-5ED9AD1CD2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r="69596"/>
        <a:stretch/>
      </xdr:blipFill>
      <xdr:spPr>
        <a:xfrm>
          <a:off x="7924801" y="4762500"/>
          <a:ext cx="1162050" cy="2143125"/>
        </a:xfrm>
        <a:prstGeom prst="rect">
          <a:avLst/>
        </a:prstGeom>
      </xdr:spPr>
    </xdr:pic>
    <xdr:clientData/>
  </xdr:twoCellAnchor>
  <xdr:twoCellAnchor editAs="oneCell">
    <xdr:from>
      <xdr:col>17</xdr:col>
      <xdr:colOff>19050</xdr:colOff>
      <xdr:row>33</xdr:row>
      <xdr:rowOff>39265</xdr:rowOff>
    </xdr:from>
    <xdr:to>
      <xdr:col>26</xdr:col>
      <xdr:colOff>104775</xdr:colOff>
      <xdr:row>40</xdr:row>
      <xdr:rowOff>118603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EC85DDDB-27D8-D7AB-8022-6A444820F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382250" y="6325765"/>
          <a:ext cx="5572125" cy="1412838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25</xdr:row>
      <xdr:rowOff>1</xdr:rowOff>
    </xdr:from>
    <xdr:to>
      <xdr:col>23</xdr:col>
      <xdr:colOff>257175</xdr:colOff>
      <xdr:row>31</xdr:row>
      <xdr:rowOff>32961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9E4720C8-29B3-4B57-AE2B-902428371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363200" y="4762501"/>
          <a:ext cx="3914775" cy="1175960"/>
        </a:xfrm>
        <a:prstGeom prst="rect">
          <a:avLst/>
        </a:prstGeom>
      </xdr:spPr>
    </xdr:pic>
    <xdr:clientData/>
  </xdr:twoCellAnchor>
  <xdr:twoCellAnchor>
    <xdr:from>
      <xdr:col>2</xdr:col>
      <xdr:colOff>408214</xdr:colOff>
      <xdr:row>13</xdr:row>
      <xdr:rowOff>108857</xdr:rowOff>
    </xdr:from>
    <xdr:to>
      <xdr:col>4</xdr:col>
      <xdr:colOff>62592</xdr:colOff>
      <xdr:row>15</xdr:row>
      <xdr:rowOff>13607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E26C53B8-C0AD-4ADF-9655-EFFA1F32ABD7}"/>
            </a:ext>
          </a:extLst>
        </xdr:cNvPr>
        <xdr:cNvSpPr/>
      </xdr:nvSpPr>
      <xdr:spPr>
        <a:xfrm>
          <a:off x="1632857" y="2585357"/>
          <a:ext cx="879021" cy="285750"/>
        </a:xfrm>
        <a:prstGeom prst="ellipse">
          <a:avLst/>
        </a:prstGeom>
        <a:noFill/>
        <a:ln>
          <a:prstDash val="dash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44</xdr:row>
      <xdr:rowOff>0</xdr:rowOff>
    </xdr:from>
    <xdr:to>
      <xdr:col>11</xdr:col>
      <xdr:colOff>437278</xdr:colOff>
      <xdr:row>62</xdr:row>
      <xdr:rowOff>33829</xdr:rowOff>
    </xdr:to>
    <xdr:grpSp>
      <xdr:nvGrpSpPr>
        <xdr:cNvPr id="53" name="Group 52">
          <a:extLst>
            <a:ext uri="{FF2B5EF4-FFF2-40B4-BE49-F238E27FC236}">
              <a16:creationId xmlns:a16="http://schemas.microsoft.com/office/drawing/2014/main" id="{61B90FE6-78E3-41E0-A62D-C82C8ECDF359}"/>
            </a:ext>
          </a:extLst>
        </xdr:cNvPr>
        <xdr:cNvGrpSpPr/>
      </xdr:nvGrpSpPr>
      <xdr:grpSpPr>
        <a:xfrm>
          <a:off x="607786" y="7982857"/>
          <a:ext cx="6515135" cy="3299543"/>
          <a:chOff x="571500" y="8001000"/>
          <a:chExt cx="6560493" cy="3462829"/>
        </a:xfrm>
      </xdr:grpSpPr>
      <xdr:pic>
        <xdr:nvPicPr>
          <xdr:cNvPr id="54" name="Picture 53">
            <a:extLst>
              <a:ext uri="{FF2B5EF4-FFF2-40B4-BE49-F238E27FC236}">
                <a16:creationId xmlns:a16="http://schemas.microsoft.com/office/drawing/2014/main" id="{4612566D-02ED-4D26-736A-A8286A39E57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612321" y="8001000"/>
            <a:ext cx="6519672" cy="3462829"/>
          </a:xfrm>
          <a:prstGeom prst="rect">
            <a:avLst/>
          </a:prstGeom>
        </xdr:spPr>
      </xdr:pic>
      <xdr:sp macro="" textlink="">
        <xdr:nvSpPr>
          <xdr:cNvPr id="55" name="Oval 54">
            <a:extLst>
              <a:ext uri="{FF2B5EF4-FFF2-40B4-BE49-F238E27FC236}">
                <a16:creationId xmlns:a16="http://schemas.microsoft.com/office/drawing/2014/main" id="{D6F02A5F-066E-8240-70A4-6C3D2D3269A1}"/>
              </a:ext>
            </a:extLst>
          </xdr:cNvPr>
          <xdr:cNvSpPr/>
        </xdr:nvSpPr>
        <xdr:spPr>
          <a:xfrm>
            <a:off x="571500" y="9756322"/>
            <a:ext cx="898072" cy="285750"/>
          </a:xfrm>
          <a:prstGeom prst="ellipse">
            <a:avLst/>
          </a:prstGeom>
          <a:noFill/>
          <a:ln>
            <a:prstDash val="dash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6" name="Oval 55">
            <a:extLst>
              <a:ext uri="{FF2B5EF4-FFF2-40B4-BE49-F238E27FC236}">
                <a16:creationId xmlns:a16="http://schemas.microsoft.com/office/drawing/2014/main" id="{9518D603-411F-F015-2367-F0EEE4CF4C6B}"/>
              </a:ext>
            </a:extLst>
          </xdr:cNvPr>
          <xdr:cNvSpPr/>
        </xdr:nvSpPr>
        <xdr:spPr>
          <a:xfrm>
            <a:off x="1673679" y="10327822"/>
            <a:ext cx="898072" cy="285750"/>
          </a:xfrm>
          <a:prstGeom prst="ellipse">
            <a:avLst/>
          </a:prstGeom>
          <a:noFill/>
          <a:ln>
            <a:prstDash val="dash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8" name="Oval 57">
            <a:extLst>
              <a:ext uri="{FF2B5EF4-FFF2-40B4-BE49-F238E27FC236}">
                <a16:creationId xmlns:a16="http://schemas.microsoft.com/office/drawing/2014/main" id="{C77F2F4A-4222-67FC-4A8B-D987C77650BE}"/>
              </a:ext>
            </a:extLst>
          </xdr:cNvPr>
          <xdr:cNvSpPr/>
        </xdr:nvSpPr>
        <xdr:spPr>
          <a:xfrm>
            <a:off x="3810000" y="10831286"/>
            <a:ext cx="898072" cy="285750"/>
          </a:xfrm>
          <a:prstGeom prst="ellipse">
            <a:avLst/>
          </a:prstGeom>
          <a:noFill/>
          <a:ln>
            <a:prstDash val="dash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 editAs="oneCell">
    <xdr:from>
      <xdr:col>13</xdr:col>
      <xdr:colOff>612320</xdr:colOff>
      <xdr:row>45</xdr:row>
      <xdr:rowOff>190499</xdr:rowOff>
    </xdr:from>
    <xdr:to>
      <xdr:col>24</xdr:col>
      <xdr:colOff>184108</xdr:colOff>
      <xdr:row>61</xdr:row>
      <xdr:rowOff>176892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62445F1F-DD84-42EF-A1EF-EA9466A69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72499" y="8762999"/>
          <a:ext cx="6307323" cy="3034393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46</xdr:row>
      <xdr:rowOff>0</xdr:rowOff>
    </xdr:from>
    <xdr:to>
      <xdr:col>35</xdr:col>
      <xdr:colOff>516039</xdr:colOff>
      <xdr:row>65</xdr:row>
      <xdr:rowOff>95250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370EAAF6-8D1E-FAA5-5258-A1CD96349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5920357" y="8763000"/>
          <a:ext cx="6026932" cy="3714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39</xdr:row>
      <xdr:rowOff>0</xdr:rowOff>
    </xdr:from>
    <xdr:to>
      <xdr:col>27</xdr:col>
      <xdr:colOff>283881</xdr:colOff>
      <xdr:row>53</xdr:row>
      <xdr:rowOff>128494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741F96-CB72-4923-857D-B1A0932CE8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</xdr:row>
      <xdr:rowOff>0</xdr:rowOff>
    </xdr:from>
    <xdr:to>
      <xdr:col>1</xdr:col>
      <xdr:colOff>904875</xdr:colOff>
      <xdr:row>2</xdr:row>
      <xdr:rowOff>37283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D5C1481-A3DF-49E3-8D41-29D8C1EC8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190500"/>
          <a:ext cx="885825" cy="22778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0</xdr:colOff>
      <xdr:row>5</xdr:row>
      <xdr:rowOff>0</xdr:rowOff>
    </xdr:from>
    <xdr:to>
      <xdr:col>39</xdr:col>
      <xdr:colOff>0</xdr:colOff>
      <xdr:row>27</xdr:row>
      <xdr:rowOff>28015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DCF9461-0639-4364-8E69-1B44D296AA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0</xdr:colOff>
      <xdr:row>36</xdr:row>
      <xdr:rowOff>0</xdr:rowOff>
    </xdr:from>
    <xdr:to>
      <xdr:col>38</xdr:col>
      <xdr:colOff>588818</xdr:colOff>
      <xdr:row>55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709ADF0-C6FE-44BA-B4AC-627D6085E3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0</xdr:row>
      <xdr:rowOff>0</xdr:rowOff>
    </xdr:from>
    <xdr:to>
      <xdr:col>3</xdr:col>
      <xdr:colOff>276225</xdr:colOff>
      <xdr:row>1</xdr:row>
      <xdr:rowOff>37283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E73477-0272-42A7-82D3-8B6DB9F67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05025" y="0"/>
          <a:ext cx="885825" cy="22778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0</xdr:colOff>
      <xdr:row>41</xdr:row>
      <xdr:rowOff>0</xdr:rowOff>
    </xdr:from>
    <xdr:to>
      <xdr:col>40</xdr:col>
      <xdr:colOff>200025</xdr:colOff>
      <xdr:row>55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3BFABDE-3D5D-4F8D-A4A0-7E47DBBA37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0</xdr:colOff>
      <xdr:row>5</xdr:row>
      <xdr:rowOff>0</xdr:rowOff>
    </xdr:from>
    <xdr:to>
      <xdr:col>40</xdr:col>
      <xdr:colOff>200025</xdr:colOff>
      <xdr:row>19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67D636B-5FE6-4174-955A-57D08782DA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0</xdr:row>
      <xdr:rowOff>0</xdr:rowOff>
    </xdr:from>
    <xdr:to>
      <xdr:col>3</xdr:col>
      <xdr:colOff>276225</xdr:colOff>
      <xdr:row>1</xdr:row>
      <xdr:rowOff>37283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8A3D15-7CB3-44E9-A8DC-E44258AA6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95475" y="0"/>
          <a:ext cx="885825" cy="227783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36</xdr:row>
      <xdr:rowOff>0</xdr:rowOff>
    </xdr:from>
    <xdr:to>
      <xdr:col>3</xdr:col>
      <xdr:colOff>276225</xdr:colOff>
      <xdr:row>37</xdr:row>
      <xdr:rowOff>37283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820017C-B012-4BA4-8C7D-DA3D121D4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95475" y="6858000"/>
          <a:ext cx="885825" cy="227783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36</xdr:row>
      <xdr:rowOff>0</xdr:rowOff>
    </xdr:from>
    <xdr:to>
      <xdr:col>3</xdr:col>
      <xdr:colOff>276225</xdr:colOff>
      <xdr:row>37</xdr:row>
      <xdr:rowOff>37283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2AAC6C-BA27-4220-9076-9C23AD3DD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95475" y="0"/>
          <a:ext cx="885825" cy="22778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3</xdr:col>
      <xdr:colOff>276225</xdr:colOff>
      <xdr:row>1</xdr:row>
      <xdr:rowOff>37283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FA45FC-E878-409E-A296-E0559C476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3550" y="0"/>
          <a:ext cx="866775" cy="227783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29</xdr:row>
      <xdr:rowOff>0</xdr:rowOff>
    </xdr:from>
    <xdr:to>
      <xdr:col>11</xdr:col>
      <xdr:colOff>530061</xdr:colOff>
      <xdr:row>44</xdr:row>
      <xdr:rowOff>54429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52750DE-74F6-46E1-B19B-5CAE1D6085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27</xdr:row>
      <xdr:rowOff>28575</xdr:rowOff>
    </xdr:from>
    <xdr:to>
      <xdr:col>9</xdr:col>
      <xdr:colOff>197522</xdr:colOff>
      <xdr:row>41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3A69970-161B-47B6-87C7-60DEAD266D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BCF25-635A-43D6-A73E-536C33D827B2}">
  <dimension ref="A3:AA46"/>
  <sheetViews>
    <sheetView zoomScale="70" zoomScaleNormal="70" workbookViewId="0">
      <selection activeCell="AA47" sqref="AA47"/>
    </sheetView>
  </sheetViews>
  <sheetFormatPr defaultRowHeight="14.5" x14ac:dyDescent="0.35"/>
  <sheetData>
    <row r="3" spans="2:25" x14ac:dyDescent="0.35">
      <c r="B3" s="17" t="s">
        <v>96</v>
      </c>
    </row>
    <row r="15" spans="2:25" x14ac:dyDescent="0.35">
      <c r="Y15" t="s">
        <v>97</v>
      </c>
    </row>
    <row r="24" spans="13:18" x14ac:dyDescent="0.35">
      <c r="M24" s="17" t="s">
        <v>105</v>
      </c>
    </row>
    <row r="25" spans="13:18" x14ac:dyDescent="0.35">
      <c r="M25">
        <v>1</v>
      </c>
      <c r="N25" t="s">
        <v>102</v>
      </c>
      <c r="Q25">
        <v>2</v>
      </c>
      <c r="R25" t="s">
        <v>103</v>
      </c>
    </row>
    <row r="33" spans="1:27" x14ac:dyDescent="0.35">
      <c r="Q33">
        <v>3</v>
      </c>
      <c r="R33" t="s">
        <v>104</v>
      </c>
    </row>
    <row r="42" spans="1:27" x14ac:dyDescent="0.35">
      <c r="B42" s="17" t="s">
        <v>118</v>
      </c>
    </row>
    <row r="43" spans="1:27" x14ac:dyDescent="0.35">
      <c r="A43">
        <v>1</v>
      </c>
      <c r="B43" t="s">
        <v>117</v>
      </c>
    </row>
    <row r="46" spans="1:27" x14ac:dyDescent="0.35">
      <c r="N46">
        <v>2</v>
      </c>
      <c r="O46" t="s">
        <v>119</v>
      </c>
      <c r="Z46">
        <v>3</v>
      </c>
      <c r="AA46" t="s">
        <v>120</v>
      </c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B2F5D-C12B-4F68-8DBF-22673EA1ABB8}">
  <dimension ref="A1:AE57"/>
  <sheetViews>
    <sheetView topLeftCell="A33" zoomScaleNormal="100" workbookViewId="0">
      <selection activeCell="B35" sqref="B35"/>
    </sheetView>
  </sheetViews>
  <sheetFormatPr defaultColWidth="9.1796875" defaultRowHeight="14" x14ac:dyDescent="0.3"/>
  <cols>
    <col min="1" max="1" width="10" style="2" bestFit="1" customWidth="1"/>
    <col min="2" max="2" width="25.81640625" style="2" bestFit="1" customWidth="1"/>
    <col min="3" max="5" width="10" style="2" bestFit="1" customWidth="1"/>
    <col min="6" max="6" width="10.7265625" style="2" bestFit="1" customWidth="1"/>
    <col min="7" max="7" width="13.81640625" style="2" bestFit="1" customWidth="1"/>
    <col min="8" max="8" width="14.1796875" style="2" bestFit="1" customWidth="1"/>
    <col min="9" max="9" width="10" style="2" bestFit="1" customWidth="1"/>
    <col min="10" max="11" width="11.26953125" style="2" bestFit="1" customWidth="1"/>
    <col min="12" max="12" width="15.54296875" style="2" bestFit="1" customWidth="1"/>
    <col min="13" max="17" width="10.26953125" style="2" customWidth="1"/>
    <col min="18" max="18" width="13.1796875" style="2" customWidth="1"/>
    <col min="19" max="19" width="13.453125" style="2" bestFit="1" customWidth="1"/>
    <col min="20" max="31" width="11.26953125" style="2" bestFit="1" customWidth="1"/>
    <col min="32" max="16384" width="9.1796875" style="2"/>
  </cols>
  <sheetData>
    <row r="1" spans="1:21" ht="14.5" x14ac:dyDescent="0.35">
      <c r="A1" s="17" t="s">
        <v>98</v>
      </c>
      <c r="B1" s="17" t="s">
        <v>99</v>
      </c>
      <c r="C1"/>
    </row>
    <row r="2" spans="1:21" ht="14.5" x14ac:dyDescent="0.35">
      <c r="A2"/>
      <c r="B2"/>
      <c r="C2"/>
      <c r="D2"/>
    </row>
    <row r="3" spans="1:21" ht="14.5" x14ac:dyDescent="0.35">
      <c r="A3"/>
      <c r="B3"/>
      <c r="C3"/>
    </row>
    <row r="4" spans="1:21" ht="14.5" x14ac:dyDescent="0.35">
      <c r="A4" s="1"/>
    </row>
    <row r="5" spans="1:21" x14ac:dyDescent="0.3">
      <c r="A5" s="2" t="s">
        <v>0</v>
      </c>
      <c r="B5" s="3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3">
      <c r="B6" s="3" t="s">
        <v>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3">
      <c r="B7" s="3" t="s">
        <v>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x14ac:dyDescent="0.3">
      <c r="B8" s="3" t="s">
        <v>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x14ac:dyDescent="0.3">
      <c r="B9" s="3" t="s">
        <v>6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2" spans="1:21" x14ac:dyDescent="0.3">
      <c r="A12" s="2" t="s">
        <v>7</v>
      </c>
      <c r="B12" s="3" t="s">
        <v>9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3">
      <c r="B13" s="3" t="s">
        <v>3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x14ac:dyDescent="0.3">
      <c r="B14" s="3" t="s">
        <v>4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x14ac:dyDescent="0.3">
      <c r="B15" s="3" t="s">
        <v>5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 x14ac:dyDescent="0.3">
      <c r="B16" s="3" t="s">
        <v>6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8" spans="2:31" x14ac:dyDescent="0.3">
      <c r="B18" s="2" t="s">
        <v>23</v>
      </c>
    </row>
    <row r="19" spans="2:31" x14ac:dyDescent="0.3">
      <c r="B19" s="2" t="s">
        <v>8</v>
      </c>
      <c r="C19" s="2">
        <v>2017</v>
      </c>
      <c r="D19" s="2">
        <v>2018</v>
      </c>
      <c r="E19" s="2">
        <v>2019</v>
      </c>
      <c r="F19" s="2">
        <v>2020</v>
      </c>
      <c r="G19" s="2">
        <v>2021</v>
      </c>
      <c r="H19" s="2">
        <v>2022</v>
      </c>
      <c r="I19" s="2">
        <v>2023</v>
      </c>
      <c r="J19" s="2">
        <v>2024</v>
      </c>
      <c r="K19" s="2">
        <v>2025</v>
      </c>
      <c r="L19" s="2">
        <v>2026</v>
      </c>
      <c r="M19" s="2">
        <v>2027</v>
      </c>
      <c r="N19" s="2">
        <v>2028</v>
      </c>
      <c r="O19" s="2">
        <v>2029</v>
      </c>
      <c r="P19" s="2">
        <v>2030</v>
      </c>
      <c r="Q19" s="2">
        <v>2031</v>
      </c>
      <c r="R19" s="2">
        <v>2032</v>
      </c>
      <c r="S19" s="2">
        <v>2033</v>
      </c>
      <c r="T19" s="2">
        <v>2034</v>
      </c>
      <c r="U19" s="2">
        <v>2035</v>
      </c>
    </row>
    <row r="20" spans="2:31" x14ac:dyDescent="0.3">
      <c r="B20" s="2" t="s">
        <v>3</v>
      </c>
      <c r="C20" s="15">
        <f>(C6+100)/($K6+100)*100</f>
        <v>100</v>
      </c>
      <c r="D20" s="15">
        <f t="shared" ref="D20:U20" si="0">(D6+100)/($K6+100)*100</f>
        <v>100</v>
      </c>
      <c r="E20" s="15">
        <f t="shared" si="0"/>
        <v>100</v>
      </c>
      <c r="F20" s="15">
        <f t="shared" si="0"/>
        <v>100</v>
      </c>
      <c r="G20" s="15">
        <f t="shared" si="0"/>
        <v>100</v>
      </c>
      <c r="H20" s="15">
        <f t="shared" si="0"/>
        <v>100</v>
      </c>
      <c r="I20" s="15">
        <f t="shared" si="0"/>
        <v>100</v>
      </c>
      <c r="J20" s="15">
        <f t="shared" si="0"/>
        <v>100</v>
      </c>
      <c r="K20" s="15">
        <f t="shared" si="0"/>
        <v>100</v>
      </c>
      <c r="L20" s="15">
        <f t="shared" si="0"/>
        <v>100</v>
      </c>
      <c r="M20" s="15">
        <f t="shared" si="0"/>
        <v>100</v>
      </c>
      <c r="N20" s="15">
        <f t="shared" si="0"/>
        <v>100</v>
      </c>
      <c r="O20" s="15">
        <f t="shared" si="0"/>
        <v>100</v>
      </c>
      <c r="P20" s="15">
        <f t="shared" si="0"/>
        <v>100</v>
      </c>
      <c r="Q20" s="15">
        <f t="shared" si="0"/>
        <v>100</v>
      </c>
      <c r="R20" s="15">
        <f t="shared" si="0"/>
        <v>100</v>
      </c>
      <c r="S20" s="15">
        <f t="shared" si="0"/>
        <v>100</v>
      </c>
      <c r="T20" s="15">
        <f t="shared" si="0"/>
        <v>100</v>
      </c>
      <c r="U20" s="15">
        <f t="shared" si="0"/>
        <v>100</v>
      </c>
      <c r="V20" s="15"/>
      <c r="W20" s="15"/>
      <c r="X20" s="15"/>
      <c r="Y20" s="15"/>
      <c r="Z20" s="15"/>
      <c r="AA20" s="15"/>
      <c r="AB20" s="15"/>
      <c r="AC20" s="15"/>
      <c r="AD20" s="15"/>
      <c r="AE20" s="15"/>
    </row>
    <row r="21" spans="2:31" x14ac:dyDescent="0.3">
      <c r="B21" s="2" t="s">
        <v>4</v>
      </c>
      <c r="C21" s="15">
        <f t="shared" ref="C21:U23" si="1">(C7+100)/($K7+100)*100</f>
        <v>100</v>
      </c>
      <c r="D21" s="15">
        <f t="shared" si="1"/>
        <v>100</v>
      </c>
      <c r="E21" s="15">
        <f t="shared" si="1"/>
        <v>100</v>
      </c>
      <c r="F21" s="15">
        <f t="shared" si="1"/>
        <v>100</v>
      </c>
      <c r="G21" s="15">
        <f t="shared" si="1"/>
        <v>100</v>
      </c>
      <c r="H21" s="15">
        <f t="shared" si="1"/>
        <v>100</v>
      </c>
      <c r="I21" s="15">
        <f t="shared" si="1"/>
        <v>100</v>
      </c>
      <c r="J21" s="15">
        <f t="shared" si="1"/>
        <v>100</v>
      </c>
      <c r="K21" s="15">
        <f t="shared" si="1"/>
        <v>100</v>
      </c>
      <c r="L21" s="15">
        <f t="shared" si="1"/>
        <v>100</v>
      </c>
      <c r="M21" s="15">
        <f t="shared" si="1"/>
        <v>100</v>
      </c>
      <c r="N21" s="15">
        <f t="shared" si="1"/>
        <v>100</v>
      </c>
      <c r="O21" s="15">
        <f t="shared" si="1"/>
        <v>100</v>
      </c>
      <c r="P21" s="15">
        <f t="shared" si="1"/>
        <v>100</v>
      </c>
      <c r="Q21" s="15">
        <f t="shared" si="1"/>
        <v>100</v>
      </c>
      <c r="R21" s="15">
        <f t="shared" si="1"/>
        <v>100</v>
      </c>
      <c r="S21" s="15">
        <f t="shared" si="1"/>
        <v>100</v>
      </c>
      <c r="T21" s="15">
        <f t="shared" si="1"/>
        <v>100</v>
      </c>
      <c r="U21" s="15">
        <f t="shared" si="1"/>
        <v>100</v>
      </c>
      <c r="V21" s="15"/>
      <c r="W21" s="15"/>
      <c r="X21" s="15"/>
      <c r="Y21" s="15"/>
      <c r="Z21" s="15"/>
      <c r="AA21" s="15"/>
      <c r="AB21" s="15"/>
      <c r="AC21" s="15"/>
      <c r="AD21" s="15"/>
      <c r="AE21" s="15"/>
    </row>
    <row r="22" spans="2:31" x14ac:dyDescent="0.3">
      <c r="B22" s="2" t="s">
        <v>5</v>
      </c>
      <c r="C22" s="15">
        <f t="shared" si="1"/>
        <v>100</v>
      </c>
      <c r="D22" s="15">
        <f t="shared" si="1"/>
        <v>100</v>
      </c>
      <c r="E22" s="15">
        <f t="shared" si="1"/>
        <v>100</v>
      </c>
      <c r="F22" s="15">
        <f t="shared" si="1"/>
        <v>100</v>
      </c>
      <c r="G22" s="15">
        <f t="shared" si="1"/>
        <v>100</v>
      </c>
      <c r="H22" s="15">
        <f t="shared" si="1"/>
        <v>100</v>
      </c>
      <c r="I22" s="15">
        <f t="shared" si="1"/>
        <v>100</v>
      </c>
      <c r="J22" s="15">
        <f t="shared" si="1"/>
        <v>100</v>
      </c>
      <c r="K22" s="15">
        <f t="shared" si="1"/>
        <v>100</v>
      </c>
      <c r="L22" s="15">
        <f t="shared" si="1"/>
        <v>100</v>
      </c>
      <c r="M22" s="15">
        <f t="shared" si="1"/>
        <v>100</v>
      </c>
      <c r="N22" s="15">
        <f t="shared" si="1"/>
        <v>100</v>
      </c>
      <c r="O22" s="15">
        <f t="shared" si="1"/>
        <v>100</v>
      </c>
      <c r="P22" s="15">
        <f t="shared" si="1"/>
        <v>100</v>
      </c>
      <c r="Q22" s="15">
        <f t="shared" si="1"/>
        <v>100</v>
      </c>
      <c r="R22" s="15">
        <f t="shared" si="1"/>
        <v>100</v>
      </c>
      <c r="S22" s="15">
        <f t="shared" si="1"/>
        <v>100</v>
      </c>
      <c r="T22" s="15">
        <f t="shared" si="1"/>
        <v>100</v>
      </c>
      <c r="U22" s="15">
        <f t="shared" si="1"/>
        <v>100</v>
      </c>
      <c r="V22" s="15"/>
      <c r="W22" s="15"/>
      <c r="X22" s="15"/>
      <c r="Y22" s="15"/>
      <c r="Z22" s="15"/>
      <c r="AA22" s="15"/>
      <c r="AB22" s="15"/>
      <c r="AC22" s="15"/>
      <c r="AD22" s="15"/>
      <c r="AE22" s="15"/>
    </row>
    <row r="23" spans="2:31" x14ac:dyDescent="0.3">
      <c r="B23" s="2" t="s">
        <v>6</v>
      </c>
      <c r="C23" s="15">
        <f t="shared" si="1"/>
        <v>100</v>
      </c>
      <c r="D23" s="15">
        <f t="shared" si="1"/>
        <v>100</v>
      </c>
      <c r="E23" s="15">
        <f t="shared" si="1"/>
        <v>100</v>
      </c>
      <c r="F23" s="15">
        <f t="shared" si="1"/>
        <v>100</v>
      </c>
      <c r="G23" s="15">
        <f t="shared" si="1"/>
        <v>100</v>
      </c>
      <c r="H23" s="15">
        <f t="shared" si="1"/>
        <v>100</v>
      </c>
      <c r="I23" s="15">
        <f t="shared" si="1"/>
        <v>100</v>
      </c>
      <c r="J23" s="15">
        <f t="shared" si="1"/>
        <v>100</v>
      </c>
      <c r="K23" s="15">
        <f t="shared" si="1"/>
        <v>100</v>
      </c>
      <c r="L23" s="15">
        <f t="shared" si="1"/>
        <v>100</v>
      </c>
      <c r="M23" s="15">
        <f t="shared" si="1"/>
        <v>100</v>
      </c>
      <c r="N23" s="15">
        <f t="shared" si="1"/>
        <v>100</v>
      </c>
      <c r="O23" s="15">
        <f t="shared" si="1"/>
        <v>100</v>
      </c>
      <c r="P23" s="15">
        <f t="shared" si="1"/>
        <v>100</v>
      </c>
      <c r="Q23" s="15">
        <f t="shared" si="1"/>
        <v>100</v>
      </c>
      <c r="R23" s="15">
        <f t="shared" si="1"/>
        <v>100</v>
      </c>
      <c r="S23" s="15">
        <f t="shared" si="1"/>
        <v>100</v>
      </c>
      <c r="T23" s="15">
        <f t="shared" si="1"/>
        <v>100</v>
      </c>
      <c r="U23" s="15">
        <f t="shared" si="1"/>
        <v>100</v>
      </c>
      <c r="V23" s="15"/>
      <c r="W23" s="15"/>
      <c r="X23" s="15"/>
      <c r="Y23" s="15"/>
      <c r="Z23" s="15"/>
      <c r="AA23" s="15"/>
      <c r="AB23" s="15"/>
      <c r="AC23" s="15"/>
      <c r="AD23" s="15"/>
      <c r="AE23" s="15"/>
    </row>
    <row r="24" spans="2:31" x14ac:dyDescent="0.3"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2:31" x14ac:dyDescent="0.3">
      <c r="B25" s="2" t="s">
        <v>23</v>
      </c>
    </row>
    <row r="26" spans="2:31" x14ac:dyDescent="0.3">
      <c r="B26" s="2" t="s">
        <v>9</v>
      </c>
      <c r="C26" s="2">
        <v>2017</v>
      </c>
      <c r="D26" s="2">
        <v>2018</v>
      </c>
      <c r="E26" s="2">
        <v>2019</v>
      </c>
      <c r="F26" s="2">
        <v>2020</v>
      </c>
      <c r="G26" s="2">
        <v>2021</v>
      </c>
      <c r="H26" s="2">
        <v>2022</v>
      </c>
      <c r="I26" s="2">
        <v>2023</v>
      </c>
      <c r="J26" s="2">
        <v>2024</v>
      </c>
      <c r="K26" s="2">
        <v>2025</v>
      </c>
      <c r="L26" s="2">
        <v>2026</v>
      </c>
      <c r="M26" s="2">
        <v>2027</v>
      </c>
      <c r="N26" s="2">
        <v>2028</v>
      </c>
      <c r="O26" s="2">
        <v>2029</v>
      </c>
      <c r="P26" s="2">
        <v>2030</v>
      </c>
      <c r="Q26" s="2">
        <v>2031</v>
      </c>
      <c r="R26" s="2">
        <v>2032</v>
      </c>
      <c r="S26" s="2">
        <v>2033</v>
      </c>
      <c r="T26" s="2">
        <v>2034</v>
      </c>
      <c r="U26" s="2">
        <v>2035</v>
      </c>
    </row>
    <row r="27" spans="2:31" x14ac:dyDescent="0.3">
      <c r="B27" s="2" t="s">
        <v>3</v>
      </c>
      <c r="C27" s="15">
        <f>(C13+100)/($K13+100)*100</f>
        <v>100</v>
      </c>
      <c r="D27" s="15">
        <f t="shared" ref="D27:U27" si="2">(D13+100)/($K13+100)*100</f>
        <v>100</v>
      </c>
      <c r="E27" s="15">
        <f t="shared" si="2"/>
        <v>100</v>
      </c>
      <c r="F27" s="15">
        <f t="shared" si="2"/>
        <v>100</v>
      </c>
      <c r="G27" s="15">
        <f t="shared" si="2"/>
        <v>100</v>
      </c>
      <c r="H27" s="15">
        <f t="shared" si="2"/>
        <v>100</v>
      </c>
      <c r="I27" s="15">
        <f t="shared" si="2"/>
        <v>100</v>
      </c>
      <c r="J27" s="15">
        <f t="shared" si="2"/>
        <v>100</v>
      </c>
      <c r="K27" s="15">
        <f t="shared" si="2"/>
        <v>100</v>
      </c>
      <c r="L27" s="15">
        <f t="shared" si="2"/>
        <v>100</v>
      </c>
      <c r="M27" s="15">
        <f t="shared" si="2"/>
        <v>100</v>
      </c>
      <c r="N27" s="15">
        <f t="shared" si="2"/>
        <v>100</v>
      </c>
      <c r="O27" s="15">
        <f t="shared" si="2"/>
        <v>100</v>
      </c>
      <c r="P27" s="15">
        <f t="shared" si="2"/>
        <v>100</v>
      </c>
      <c r="Q27" s="15">
        <f t="shared" si="2"/>
        <v>100</v>
      </c>
      <c r="R27" s="15">
        <f t="shared" si="2"/>
        <v>100</v>
      </c>
      <c r="S27" s="15">
        <f t="shared" si="2"/>
        <v>100</v>
      </c>
      <c r="T27" s="15">
        <f t="shared" si="2"/>
        <v>100</v>
      </c>
      <c r="U27" s="15">
        <f t="shared" si="2"/>
        <v>100</v>
      </c>
      <c r="V27" s="15"/>
      <c r="W27" s="15"/>
      <c r="X27" s="15"/>
      <c r="Y27" s="15"/>
      <c r="Z27" s="15"/>
      <c r="AA27" s="15"/>
      <c r="AB27" s="15"/>
      <c r="AC27" s="15"/>
      <c r="AD27" s="15"/>
      <c r="AE27" s="15"/>
    </row>
    <row r="28" spans="2:31" x14ac:dyDescent="0.3">
      <c r="B28" s="2" t="s">
        <v>4</v>
      </c>
      <c r="C28" s="15">
        <f t="shared" ref="C28:U30" si="3">(C14+100)/($K14+100)*100</f>
        <v>100</v>
      </c>
      <c r="D28" s="15">
        <f t="shared" si="3"/>
        <v>100</v>
      </c>
      <c r="E28" s="15">
        <f t="shared" si="3"/>
        <v>100</v>
      </c>
      <c r="F28" s="15">
        <f t="shared" si="3"/>
        <v>100</v>
      </c>
      <c r="G28" s="15">
        <f t="shared" si="3"/>
        <v>100</v>
      </c>
      <c r="H28" s="15">
        <f t="shared" si="3"/>
        <v>100</v>
      </c>
      <c r="I28" s="15">
        <f t="shared" si="3"/>
        <v>100</v>
      </c>
      <c r="J28" s="15">
        <f t="shared" si="3"/>
        <v>100</v>
      </c>
      <c r="K28" s="15">
        <f t="shared" si="3"/>
        <v>100</v>
      </c>
      <c r="L28" s="15">
        <f t="shared" si="3"/>
        <v>100</v>
      </c>
      <c r="M28" s="15">
        <f t="shared" si="3"/>
        <v>100</v>
      </c>
      <c r="N28" s="15">
        <f t="shared" si="3"/>
        <v>100</v>
      </c>
      <c r="O28" s="15">
        <f t="shared" si="3"/>
        <v>100</v>
      </c>
      <c r="P28" s="15">
        <f t="shared" si="3"/>
        <v>100</v>
      </c>
      <c r="Q28" s="15">
        <f t="shared" si="3"/>
        <v>100</v>
      </c>
      <c r="R28" s="15">
        <f t="shared" si="3"/>
        <v>100</v>
      </c>
      <c r="S28" s="15">
        <f t="shared" si="3"/>
        <v>100</v>
      </c>
      <c r="T28" s="15">
        <f t="shared" si="3"/>
        <v>100</v>
      </c>
      <c r="U28" s="15">
        <f t="shared" si="3"/>
        <v>100</v>
      </c>
      <c r="V28" s="15"/>
      <c r="W28" s="15"/>
      <c r="X28" s="15"/>
      <c r="Y28" s="15"/>
      <c r="Z28" s="15"/>
      <c r="AA28" s="15"/>
      <c r="AB28" s="15"/>
      <c r="AC28" s="15"/>
      <c r="AD28" s="15"/>
      <c r="AE28" s="15"/>
    </row>
    <row r="29" spans="2:31" x14ac:dyDescent="0.3">
      <c r="B29" s="2" t="s">
        <v>5</v>
      </c>
      <c r="C29" s="15">
        <f t="shared" si="3"/>
        <v>100</v>
      </c>
      <c r="D29" s="15">
        <f t="shared" si="3"/>
        <v>100</v>
      </c>
      <c r="E29" s="15">
        <f t="shared" si="3"/>
        <v>100</v>
      </c>
      <c r="F29" s="15">
        <f t="shared" si="3"/>
        <v>100</v>
      </c>
      <c r="G29" s="15">
        <f t="shared" si="3"/>
        <v>100</v>
      </c>
      <c r="H29" s="15">
        <f t="shared" si="3"/>
        <v>100</v>
      </c>
      <c r="I29" s="15">
        <f t="shared" si="3"/>
        <v>100</v>
      </c>
      <c r="J29" s="15">
        <f t="shared" si="3"/>
        <v>100</v>
      </c>
      <c r="K29" s="15">
        <f t="shared" si="3"/>
        <v>100</v>
      </c>
      <c r="L29" s="15">
        <f t="shared" si="3"/>
        <v>100</v>
      </c>
      <c r="M29" s="15">
        <f t="shared" si="3"/>
        <v>100</v>
      </c>
      <c r="N29" s="15">
        <f t="shared" si="3"/>
        <v>100</v>
      </c>
      <c r="O29" s="15">
        <f t="shared" si="3"/>
        <v>100</v>
      </c>
      <c r="P29" s="15">
        <f t="shared" si="3"/>
        <v>100</v>
      </c>
      <c r="Q29" s="15">
        <f t="shared" si="3"/>
        <v>100</v>
      </c>
      <c r="R29" s="15">
        <f t="shared" si="3"/>
        <v>100</v>
      </c>
      <c r="S29" s="15">
        <f t="shared" si="3"/>
        <v>100</v>
      </c>
      <c r="T29" s="15">
        <f t="shared" si="3"/>
        <v>100</v>
      </c>
      <c r="U29" s="15">
        <f t="shared" si="3"/>
        <v>100</v>
      </c>
      <c r="V29" s="15"/>
      <c r="W29" s="15"/>
      <c r="X29" s="15"/>
      <c r="Y29" s="15"/>
      <c r="Z29" s="15"/>
      <c r="AA29" s="15"/>
      <c r="AB29" s="15"/>
      <c r="AC29" s="15"/>
      <c r="AD29" s="15"/>
      <c r="AE29" s="15"/>
    </row>
    <row r="30" spans="2:31" x14ac:dyDescent="0.3">
      <c r="B30" s="2" t="s">
        <v>6</v>
      </c>
      <c r="C30" s="15">
        <f t="shared" si="3"/>
        <v>100</v>
      </c>
      <c r="D30" s="15">
        <f t="shared" si="3"/>
        <v>100</v>
      </c>
      <c r="E30" s="15">
        <f t="shared" si="3"/>
        <v>100</v>
      </c>
      <c r="F30" s="15">
        <f t="shared" si="3"/>
        <v>100</v>
      </c>
      <c r="G30" s="15">
        <f t="shared" si="3"/>
        <v>100</v>
      </c>
      <c r="H30" s="15">
        <f t="shared" si="3"/>
        <v>100</v>
      </c>
      <c r="I30" s="15">
        <f t="shared" si="3"/>
        <v>100</v>
      </c>
      <c r="J30" s="15">
        <f t="shared" si="3"/>
        <v>100</v>
      </c>
      <c r="K30" s="15">
        <f t="shared" si="3"/>
        <v>100</v>
      </c>
      <c r="L30" s="15">
        <f t="shared" si="3"/>
        <v>100</v>
      </c>
      <c r="M30" s="15">
        <f t="shared" si="3"/>
        <v>100</v>
      </c>
      <c r="N30" s="15">
        <f t="shared" si="3"/>
        <v>100</v>
      </c>
      <c r="O30" s="15">
        <f t="shared" si="3"/>
        <v>100</v>
      </c>
      <c r="P30" s="15">
        <f t="shared" si="3"/>
        <v>100</v>
      </c>
      <c r="Q30" s="15">
        <f t="shared" si="3"/>
        <v>100</v>
      </c>
      <c r="R30" s="15">
        <f t="shared" si="3"/>
        <v>100</v>
      </c>
      <c r="S30" s="15">
        <f t="shared" si="3"/>
        <v>100</v>
      </c>
      <c r="T30" s="15">
        <f t="shared" si="3"/>
        <v>100</v>
      </c>
      <c r="U30" s="15">
        <f t="shared" si="3"/>
        <v>100</v>
      </c>
      <c r="V30" s="15"/>
      <c r="W30" s="15"/>
      <c r="X30" s="15"/>
      <c r="Y30" s="15"/>
      <c r="Z30" s="15"/>
      <c r="AA30" s="15"/>
      <c r="AB30" s="15"/>
      <c r="AC30" s="15"/>
      <c r="AD30" s="15"/>
      <c r="AE30" s="15"/>
    </row>
    <row r="31" spans="2:31" x14ac:dyDescent="0.3"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3" spans="2:31" x14ac:dyDescent="0.3">
      <c r="B33" s="4" t="s">
        <v>10</v>
      </c>
      <c r="C33" s="2">
        <v>2017</v>
      </c>
      <c r="D33" s="2">
        <v>2018</v>
      </c>
      <c r="E33" s="2">
        <v>2019</v>
      </c>
      <c r="F33" s="2">
        <v>2020</v>
      </c>
      <c r="G33" s="2">
        <v>2021</v>
      </c>
      <c r="H33" s="2">
        <v>2022</v>
      </c>
      <c r="I33" s="2">
        <v>2023</v>
      </c>
      <c r="J33" s="2">
        <v>2024</v>
      </c>
      <c r="K33" s="2">
        <v>2025</v>
      </c>
      <c r="L33" s="2">
        <v>2026</v>
      </c>
      <c r="M33" s="2">
        <v>2027</v>
      </c>
      <c r="N33" s="2">
        <v>2028</v>
      </c>
      <c r="O33" s="2">
        <v>2029</v>
      </c>
      <c r="P33" s="2">
        <v>2030</v>
      </c>
      <c r="Q33" s="2">
        <v>2031</v>
      </c>
      <c r="R33" s="2">
        <v>2032</v>
      </c>
      <c r="S33" s="2">
        <v>2033</v>
      </c>
      <c r="T33" s="2">
        <v>2034</v>
      </c>
      <c r="U33" s="2">
        <v>2035</v>
      </c>
    </row>
    <row r="34" spans="2:31" x14ac:dyDescent="0.3">
      <c r="B34" s="2" t="s">
        <v>0</v>
      </c>
      <c r="C34" s="5">
        <f>C20</f>
        <v>100</v>
      </c>
      <c r="D34" s="5">
        <f t="shared" ref="D34:U34" si="4">D20</f>
        <v>100</v>
      </c>
      <c r="E34" s="5">
        <f t="shared" si="4"/>
        <v>100</v>
      </c>
      <c r="F34" s="5">
        <f t="shared" si="4"/>
        <v>100</v>
      </c>
      <c r="G34" s="5">
        <f t="shared" si="4"/>
        <v>100</v>
      </c>
      <c r="H34" s="5">
        <f t="shared" si="4"/>
        <v>100</v>
      </c>
      <c r="I34" s="5">
        <f t="shared" si="4"/>
        <v>100</v>
      </c>
      <c r="J34" s="5">
        <f t="shared" si="4"/>
        <v>100</v>
      </c>
      <c r="K34" s="5">
        <f t="shared" si="4"/>
        <v>100</v>
      </c>
      <c r="L34" s="5">
        <f t="shared" si="4"/>
        <v>100</v>
      </c>
      <c r="M34" s="5">
        <f t="shared" si="4"/>
        <v>100</v>
      </c>
      <c r="N34" s="5">
        <f t="shared" si="4"/>
        <v>100</v>
      </c>
      <c r="O34" s="5">
        <f t="shared" si="4"/>
        <v>100</v>
      </c>
      <c r="P34" s="5">
        <f t="shared" si="4"/>
        <v>100</v>
      </c>
      <c r="Q34" s="5">
        <f t="shared" si="4"/>
        <v>100</v>
      </c>
      <c r="R34" s="5">
        <f t="shared" si="4"/>
        <v>100</v>
      </c>
      <c r="S34" s="5">
        <f t="shared" si="4"/>
        <v>100</v>
      </c>
      <c r="T34" s="5">
        <f t="shared" si="4"/>
        <v>100</v>
      </c>
      <c r="U34" s="5">
        <f t="shared" si="4"/>
        <v>100</v>
      </c>
      <c r="V34" s="5"/>
      <c r="W34" s="5"/>
      <c r="X34" s="5"/>
      <c r="Y34" s="5"/>
      <c r="Z34" s="5"/>
      <c r="AA34" s="5"/>
      <c r="AB34" s="5"/>
      <c r="AC34" s="5"/>
      <c r="AD34" s="5"/>
      <c r="AE34" s="5"/>
    </row>
    <row r="35" spans="2:31" x14ac:dyDescent="0.3">
      <c r="B35" s="3" t="s">
        <v>27</v>
      </c>
      <c r="C35" s="5">
        <f>C27</f>
        <v>100</v>
      </c>
      <c r="D35" s="5">
        <f t="shared" ref="D35:U35" si="5">D27</f>
        <v>100</v>
      </c>
      <c r="E35" s="5">
        <f t="shared" si="5"/>
        <v>100</v>
      </c>
      <c r="F35" s="5">
        <f t="shared" si="5"/>
        <v>100</v>
      </c>
      <c r="G35" s="5">
        <f t="shared" si="5"/>
        <v>100</v>
      </c>
      <c r="H35" s="5">
        <f t="shared" si="5"/>
        <v>100</v>
      </c>
      <c r="I35" s="5">
        <f t="shared" si="5"/>
        <v>100</v>
      </c>
      <c r="J35" s="5">
        <f t="shared" si="5"/>
        <v>100</v>
      </c>
      <c r="K35" s="5">
        <f t="shared" si="5"/>
        <v>100</v>
      </c>
      <c r="L35" s="5">
        <f t="shared" si="5"/>
        <v>100</v>
      </c>
      <c r="M35" s="5">
        <f t="shared" si="5"/>
        <v>100</v>
      </c>
      <c r="N35" s="5">
        <f t="shared" si="5"/>
        <v>100</v>
      </c>
      <c r="O35" s="5">
        <f t="shared" si="5"/>
        <v>100</v>
      </c>
      <c r="P35" s="5">
        <f t="shared" si="5"/>
        <v>100</v>
      </c>
      <c r="Q35" s="5">
        <f t="shared" si="5"/>
        <v>100</v>
      </c>
      <c r="R35" s="5">
        <f t="shared" si="5"/>
        <v>100</v>
      </c>
      <c r="S35" s="5">
        <f t="shared" si="5"/>
        <v>100</v>
      </c>
      <c r="T35" s="5">
        <f t="shared" si="5"/>
        <v>100</v>
      </c>
      <c r="U35" s="5">
        <f t="shared" si="5"/>
        <v>100</v>
      </c>
      <c r="V35" s="5"/>
      <c r="W35" s="5"/>
      <c r="X35" s="5"/>
      <c r="Y35" s="5"/>
      <c r="Z35" s="5"/>
      <c r="AA35" s="5"/>
      <c r="AB35" s="5"/>
      <c r="AC35" s="5"/>
      <c r="AD35" s="5"/>
      <c r="AE35" s="5"/>
    </row>
    <row r="38" spans="2:31" x14ac:dyDescent="0.3">
      <c r="C38" s="2" t="s">
        <v>11</v>
      </c>
      <c r="D38" s="2" t="s">
        <v>12</v>
      </c>
      <c r="E38" s="2" t="s">
        <v>13</v>
      </c>
      <c r="L38" s="4" t="s">
        <v>14</v>
      </c>
      <c r="U38" s="6" t="s">
        <v>15</v>
      </c>
    </row>
    <row r="39" spans="2:31" x14ac:dyDescent="0.3">
      <c r="B39" s="2" t="s">
        <v>0</v>
      </c>
    </row>
    <row r="40" spans="2:31" x14ac:dyDescent="0.3">
      <c r="B40" s="7" t="s">
        <v>3</v>
      </c>
      <c r="C40" s="8">
        <f>(((P20/K20)^((1/($P$19-$K$19)))-1)*100)</f>
        <v>0</v>
      </c>
      <c r="D40" s="8">
        <f>(((U20/P20)^((1/($U$19-$P$19)))-1)*100)</f>
        <v>0</v>
      </c>
      <c r="E40" s="8">
        <f>(((U20/J20)^((1/($U$19-$J$19)))-1)*100)</f>
        <v>0</v>
      </c>
      <c r="F40" s="8"/>
      <c r="L40" s="9"/>
      <c r="M40" s="10" t="s">
        <v>16</v>
      </c>
      <c r="N40" s="10" t="s">
        <v>17</v>
      </c>
      <c r="O40" s="10" t="s">
        <v>18</v>
      </c>
      <c r="P40" s="10" t="s">
        <v>19</v>
      </c>
    </row>
    <row r="41" spans="2:31" x14ac:dyDescent="0.3">
      <c r="B41" s="7" t="s">
        <v>4</v>
      </c>
      <c r="C41" s="8">
        <f t="shared" ref="C41:C43" si="6">(((P21/K21)^((1/($P$19-$K$19)))-1)*100)</f>
        <v>0</v>
      </c>
      <c r="D41" s="8">
        <f t="shared" ref="D41:D43" si="7">(((U21/P21)^((1/($U$19-$P$19)))-1)*100)</f>
        <v>0</v>
      </c>
      <c r="E41" s="8">
        <f t="shared" ref="E41:E43" si="8">(((U21/J21)^((1/($U$19-$J$19)))-1)*100)</f>
        <v>0</v>
      </c>
      <c r="F41" s="8"/>
      <c r="L41" s="31" t="s">
        <v>20</v>
      </c>
      <c r="M41" s="31"/>
      <c r="N41" s="31"/>
      <c r="O41" s="31"/>
      <c r="P41" s="31"/>
    </row>
    <row r="42" spans="2:31" x14ac:dyDescent="0.3">
      <c r="B42" s="7" t="s">
        <v>5</v>
      </c>
      <c r="C42" s="8">
        <f t="shared" si="6"/>
        <v>0</v>
      </c>
      <c r="D42" s="8">
        <f t="shared" si="7"/>
        <v>0</v>
      </c>
      <c r="E42" s="8">
        <f t="shared" si="8"/>
        <v>0</v>
      </c>
      <c r="F42" s="8"/>
      <c r="L42" s="11" t="s">
        <v>11</v>
      </c>
      <c r="M42" s="12">
        <f t="array" ref="M42:M44">TRANSPOSE(C43:E43)</f>
        <v>0</v>
      </c>
      <c r="N42" s="12">
        <f t="array" ref="N42:P44">TRANSPOSE(C40:E42)</f>
        <v>0</v>
      </c>
      <c r="O42" s="12">
        <v>0</v>
      </c>
      <c r="P42" s="12">
        <v>0</v>
      </c>
    </row>
    <row r="43" spans="2:31" x14ac:dyDescent="0.3">
      <c r="B43" s="7" t="s">
        <v>6</v>
      </c>
      <c r="C43" s="8">
        <f t="shared" si="6"/>
        <v>0</v>
      </c>
      <c r="D43" s="8">
        <f t="shared" si="7"/>
        <v>0</v>
      </c>
      <c r="E43" s="8">
        <f t="shared" si="8"/>
        <v>0</v>
      </c>
      <c r="F43" s="8"/>
      <c r="L43" s="11" t="s">
        <v>12</v>
      </c>
      <c r="M43" s="12">
        <v>0</v>
      </c>
      <c r="N43" s="12">
        <v>0</v>
      </c>
      <c r="O43" s="12">
        <v>0</v>
      </c>
      <c r="P43" s="12">
        <v>0</v>
      </c>
    </row>
    <row r="44" spans="2:31" x14ac:dyDescent="0.3">
      <c r="B44" s="2" t="str">
        <f>B35</f>
        <v>Nama Simulasi</v>
      </c>
      <c r="C44" s="8"/>
      <c r="D44" s="8"/>
      <c r="E44" s="8"/>
      <c r="F44" s="8"/>
      <c r="L44" s="11" t="s">
        <v>13</v>
      </c>
      <c r="M44" s="12">
        <v>0</v>
      </c>
      <c r="N44" s="12">
        <v>0</v>
      </c>
      <c r="O44" s="12">
        <v>0</v>
      </c>
      <c r="P44" s="12">
        <v>0</v>
      </c>
    </row>
    <row r="45" spans="2:31" x14ac:dyDescent="0.3">
      <c r="B45" s="7" t="s">
        <v>3</v>
      </c>
      <c r="C45" s="8">
        <f>(((P27/K27)^((1/($P$26-$K$26)))-1)*100)</f>
        <v>0</v>
      </c>
      <c r="D45" s="8">
        <f>(((U27/P27)^((1/($U$26-$P$26)))-1)*100)</f>
        <v>0</v>
      </c>
      <c r="E45" s="8">
        <f>(((U27/J27)^((1/($U$26-$J$26)))-1)*100)</f>
        <v>0</v>
      </c>
      <c r="F45" s="8"/>
      <c r="L45" s="32" t="str">
        <f>CONCATENATE(B35," (% per tahun)")</f>
        <v>Nama Simulasi (% per tahun)</v>
      </c>
      <c r="M45" s="32"/>
      <c r="N45" s="32"/>
      <c r="O45" s="32"/>
      <c r="P45" s="32"/>
    </row>
    <row r="46" spans="2:31" x14ac:dyDescent="0.3">
      <c r="B46" s="7" t="s">
        <v>4</v>
      </c>
      <c r="C46" s="8">
        <f t="shared" ref="C46:C48" si="9">(((P28/K28)^((1/($P$26-$K$26)))-1)*100)</f>
        <v>0</v>
      </c>
      <c r="D46" s="8">
        <f t="shared" ref="D46:D48" si="10">(((U28/P28)^((1/($U$26-$P$26)))-1)*100)</f>
        <v>0</v>
      </c>
      <c r="E46" s="8">
        <f t="shared" ref="E46:E48" si="11">(((U28/J28)^((1/($U$26-$J$26)))-1)*100)</f>
        <v>0</v>
      </c>
      <c r="F46" s="8"/>
      <c r="L46" s="11" t="str">
        <f>L42</f>
        <v>2025-2030</v>
      </c>
      <c r="M46" s="12">
        <f t="array" ref="M46:M48">TRANSPOSE(C48:E48)</f>
        <v>0</v>
      </c>
      <c r="N46" s="12">
        <f t="array" ref="N46:P48">TRANSPOSE(C45:E47)</f>
        <v>0</v>
      </c>
      <c r="O46" s="12">
        <v>0</v>
      </c>
      <c r="P46" s="12">
        <v>0</v>
      </c>
    </row>
    <row r="47" spans="2:31" x14ac:dyDescent="0.3">
      <c r="B47" s="7" t="s">
        <v>5</v>
      </c>
      <c r="C47" s="8">
        <f t="shared" si="9"/>
        <v>0</v>
      </c>
      <c r="D47" s="8">
        <f t="shared" si="10"/>
        <v>0</v>
      </c>
      <c r="E47" s="8">
        <f t="shared" si="11"/>
        <v>0</v>
      </c>
      <c r="F47" s="8"/>
      <c r="L47" s="11" t="str">
        <f>L43</f>
        <v>2030-2035</v>
      </c>
      <c r="M47" s="12">
        <v>0</v>
      </c>
      <c r="N47" s="12">
        <v>0</v>
      </c>
      <c r="O47" s="12">
        <v>0</v>
      </c>
      <c r="P47" s="12">
        <v>0</v>
      </c>
    </row>
    <row r="48" spans="2:31" x14ac:dyDescent="0.3">
      <c r="B48" s="7" t="s">
        <v>6</v>
      </c>
      <c r="C48" s="8">
        <f t="shared" si="9"/>
        <v>0</v>
      </c>
      <c r="D48" s="8">
        <f t="shared" si="10"/>
        <v>0</v>
      </c>
      <c r="E48" s="8">
        <f t="shared" si="11"/>
        <v>0</v>
      </c>
      <c r="F48" s="8"/>
      <c r="L48" s="11" t="str">
        <f>L44</f>
        <v>2025-2035</v>
      </c>
      <c r="M48" s="12">
        <v>0</v>
      </c>
      <c r="N48" s="12">
        <v>0</v>
      </c>
      <c r="O48" s="12">
        <v>0</v>
      </c>
      <c r="P48" s="12">
        <v>0</v>
      </c>
    </row>
    <row r="49" spans="2:16" x14ac:dyDescent="0.3">
      <c r="B49" s="2" t="s">
        <v>21</v>
      </c>
      <c r="C49" s="8"/>
      <c r="D49" s="8"/>
      <c r="E49" s="8"/>
      <c r="F49" s="8"/>
      <c r="L49" s="32" t="s">
        <v>22</v>
      </c>
      <c r="M49" s="32"/>
      <c r="N49" s="32"/>
      <c r="O49" s="32"/>
      <c r="P49" s="32"/>
    </row>
    <row r="50" spans="2:16" x14ac:dyDescent="0.3">
      <c r="B50" s="7" t="s">
        <v>3</v>
      </c>
      <c r="C50" s="8">
        <f>C45-C40</f>
        <v>0</v>
      </c>
      <c r="D50" s="8">
        <f t="shared" ref="C50:E53" si="12">D45-D40</f>
        <v>0</v>
      </c>
      <c r="E50" s="8">
        <f t="shared" si="12"/>
        <v>0</v>
      </c>
      <c r="F50" s="8"/>
      <c r="L50" s="11" t="str">
        <f t="shared" ref="L50:L52" si="13">L46</f>
        <v>2025-2030</v>
      </c>
      <c r="M50" s="12">
        <f t="shared" ref="M50:P52" si="14">M46-M42</f>
        <v>0</v>
      </c>
      <c r="N50" s="12">
        <f t="shared" si="14"/>
        <v>0</v>
      </c>
      <c r="O50" s="12">
        <f t="shared" si="14"/>
        <v>0</v>
      </c>
      <c r="P50" s="12">
        <f t="shared" si="14"/>
        <v>0</v>
      </c>
    </row>
    <row r="51" spans="2:16" x14ac:dyDescent="0.3">
      <c r="B51" s="7" t="s">
        <v>4</v>
      </c>
      <c r="C51" s="8">
        <f t="shared" si="12"/>
        <v>0</v>
      </c>
      <c r="D51" s="8">
        <f t="shared" si="12"/>
        <v>0</v>
      </c>
      <c r="E51" s="8">
        <f t="shared" si="12"/>
        <v>0</v>
      </c>
      <c r="F51" s="8"/>
      <c r="L51" s="11" t="str">
        <f t="shared" si="13"/>
        <v>2030-2035</v>
      </c>
      <c r="M51" s="12">
        <f t="shared" si="14"/>
        <v>0</v>
      </c>
      <c r="N51" s="12">
        <f t="shared" si="14"/>
        <v>0</v>
      </c>
      <c r="O51" s="12">
        <f t="shared" si="14"/>
        <v>0</v>
      </c>
      <c r="P51" s="12">
        <f t="shared" si="14"/>
        <v>0</v>
      </c>
    </row>
    <row r="52" spans="2:16" x14ac:dyDescent="0.3">
      <c r="B52" s="7" t="s">
        <v>5</v>
      </c>
      <c r="C52" s="8">
        <f t="shared" si="12"/>
        <v>0</v>
      </c>
      <c r="D52" s="8">
        <f t="shared" si="12"/>
        <v>0</v>
      </c>
      <c r="E52" s="8">
        <f t="shared" si="12"/>
        <v>0</v>
      </c>
      <c r="F52" s="8"/>
      <c r="L52" s="13" t="str">
        <f t="shared" si="13"/>
        <v>2025-2035</v>
      </c>
      <c r="M52" s="14">
        <f t="shared" si="14"/>
        <v>0</v>
      </c>
      <c r="N52" s="14">
        <f t="shared" si="14"/>
        <v>0</v>
      </c>
      <c r="O52" s="14">
        <f t="shared" si="14"/>
        <v>0</v>
      </c>
      <c r="P52" s="14">
        <f t="shared" si="14"/>
        <v>0</v>
      </c>
    </row>
    <row r="53" spans="2:16" x14ac:dyDescent="0.3">
      <c r="B53" s="7" t="s">
        <v>6</v>
      </c>
      <c r="C53" s="8">
        <f t="shared" si="12"/>
        <v>0</v>
      </c>
      <c r="D53" s="8">
        <f t="shared" si="12"/>
        <v>0</v>
      </c>
      <c r="E53" s="8">
        <f t="shared" si="12"/>
        <v>0</v>
      </c>
      <c r="F53" s="8"/>
    </row>
    <row r="54" spans="2:16" x14ac:dyDescent="0.3">
      <c r="B54" s="7"/>
      <c r="C54" s="5"/>
      <c r="D54" s="5"/>
      <c r="E54" s="5"/>
    </row>
    <row r="55" spans="2:16" x14ac:dyDescent="0.3">
      <c r="G55" s="4"/>
    </row>
    <row r="56" spans="2:16" x14ac:dyDescent="0.3">
      <c r="G56" s="7"/>
    </row>
    <row r="57" spans="2:16" x14ac:dyDescent="0.3">
      <c r="B57" s="7"/>
      <c r="C57" s="8"/>
      <c r="D57" s="8"/>
      <c r="E57" s="8"/>
      <c r="F57" s="5"/>
    </row>
  </sheetData>
  <mergeCells count="3">
    <mergeCell ref="L41:P41"/>
    <mergeCell ref="L45:P45"/>
    <mergeCell ref="L49:P49"/>
  </mergeCells>
  <pageMargins left="0.7" right="0.7" top="0.75" bottom="0.75" header="0.3" footer="0.3"/>
  <pageSetup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88565-FE41-4FF0-A6F2-2413195FEDB5}">
  <dimension ref="A1:AD56"/>
  <sheetViews>
    <sheetView tabSelected="1" zoomScale="55" zoomScaleNormal="55" workbookViewId="0">
      <selection activeCell="Y26" sqref="Y26"/>
    </sheetView>
  </sheetViews>
  <sheetFormatPr defaultRowHeight="14.5" x14ac:dyDescent="0.35"/>
  <cols>
    <col min="1" max="1" width="17.453125" bestFit="1" customWidth="1"/>
    <col min="2" max="2" width="8.54296875" bestFit="1" customWidth="1"/>
    <col min="3" max="4" width="8.81640625" bestFit="1" customWidth="1"/>
    <col min="5" max="5" width="9.26953125" bestFit="1" customWidth="1"/>
    <col min="6" max="6" width="10.7265625" bestFit="1" customWidth="1"/>
    <col min="7" max="10" width="9.26953125" bestFit="1" customWidth="1"/>
    <col min="11" max="11" width="10.1796875" bestFit="1" customWidth="1"/>
    <col min="12" max="12" width="9.7265625" bestFit="1" customWidth="1"/>
    <col min="13" max="15" width="10.1796875" bestFit="1" customWidth="1"/>
    <col min="16" max="16" width="9.7265625" bestFit="1" customWidth="1"/>
    <col min="17" max="20" width="10.1796875" bestFit="1" customWidth="1"/>
    <col min="22" max="22" width="15.26953125" bestFit="1" customWidth="1"/>
    <col min="23" max="23" width="24.54296875" bestFit="1" customWidth="1"/>
    <col min="24" max="24" width="11.1796875" bestFit="1" customWidth="1"/>
    <col min="25" max="25" width="12.1796875" bestFit="1" customWidth="1"/>
    <col min="26" max="27" width="12.453125" bestFit="1" customWidth="1"/>
  </cols>
  <sheetData>
    <row r="1" spans="1:29" x14ac:dyDescent="0.35">
      <c r="A1" t="s">
        <v>26</v>
      </c>
      <c r="B1" t="s">
        <v>1</v>
      </c>
    </row>
    <row r="2" spans="1:29" x14ac:dyDescent="0.35">
      <c r="A2" t="s">
        <v>65</v>
      </c>
      <c r="B2" t="s">
        <v>17</v>
      </c>
    </row>
    <row r="3" spans="1:29" x14ac:dyDescent="0.35">
      <c r="B3" t="s">
        <v>106</v>
      </c>
    </row>
    <row r="4" spans="1:29" x14ac:dyDescent="0.35">
      <c r="N4" s="23"/>
      <c r="W4" t="s">
        <v>108</v>
      </c>
    </row>
    <row r="5" spans="1:29" ht="18.5" x14ac:dyDescent="0.35">
      <c r="A5" s="16" t="s">
        <v>106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W5" s="17" t="s">
        <v>10</v>
      </c>
      <c r="AC5" s="21" t="s">
        <v>72</v>
      </c>
    </row>
    <row r="6" spans="1:29" x14ac:dyDescent="0.35">
      <c r="A6" s="16" t="s">
        <v>74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X6" s="18">
        <v>2026</v>
      </c>
      <c r="Y6" s="18">
        <v>2030</v>
      </c>
      <c r="Z6" s="18">
        <v>2035</v>
      </c>
    </row>
    <row r="7" spans="1:29" x14ac:dyDescent="0.35">
      <c r="A7" s="16" t="s">
        <v>75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V7" t="s">
        <v>80</v>
      </c>
      <c r="W7" t="s">
        <v>66</v>
      </c>
      <c r="X7" s="26"/>
      <c r="Y7" s="26"/>
      <c r="Z7" s="26"/>
    </row>
    <row r="8" spans="1:29" x14ac:dyDescent="0.35">
      <c r="A8" s="16" t="s">
        <v>76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V8" t="s">
        <v>74</v>
      </c>
      <c r="W8" t="s">
        <v>67</v>
      </c>
      <c r="X8" s="26"/>
      <c r="Y8" s="26"/>
      <c r="Z8" s="26"/>
    </row>
    <row r="9" spans="1:29" x14ac:dyDescent="0.35">
      <c r="A9" s="16" t="s">
        <v>77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V9" t="s">
        <v>88</v>
      </c>
      <c r="W9" t="s">
        <v>68</v>
      </c>
      <c r="X9" s="26"/>
      <c r="Y9" s="26"/>
      <c r="Z9" s="26"/>
    </row>
    <row r="10" spans="1:29" x14ac:dyDescent="0.35">
      <c r="A10" s="16" t="s">
        <v>78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V10" t="s">
        <v>82</v>
      </c>
      <c r="W10" t="s">
        <v>69</v>
      </c>
      <c r="X10" s="26"/>
      <c r="Y10" s="26"/>
      <c r="Z10" s="26"/>
    </row>
    <row r="11" spans="1:29" x14ac:dyDescent="0.35">
      <c r="A11" s="16" t="s">
        <v>79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V11" t="s">
        <v>83</v>
      </c>
      <c r="W11" t="s">
        <v>70</v>
      </c>
      <c r="X11" s="26"/>
      <c r="Y11" s="26"/>
      <c r="Z11" s="26"/>
    </row>
    <row r="12" spans="1:29" x14ac:dyDescent="0.35">
      <c r="A12" s="16" t="s">
        <v>80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W12" t="s">
        <v>71</v>
      </c>
      <c r="X12" s="19">
        <f>X11-X7</f>
        <v>0</v>
      </c>
      <c r="Y12" s="19">
        <f t="shared" ref="Y12:Z12" si="0">Y11-Y7</f>
        <v>0</v>
      </c>
      <c r="Z12" s="19">
        <f t="shared" si="0"/>
        <v>0</v>
      </c>
    </row>
    <row r="13" spans="1:29" x14ac:dyDescent="0.35">
      <c r="A13" s="16" t="s">
        <v>81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</row>
    <row r="14" spans="1:29" x14ac:dyDescent="0.35">
      <c r="A14" s="16" t="s">
        <v>82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</row>
    <row r="15" spans="1:29" x14ac:dyDescent="0.35">
      <c r="A15" s="16" t="s">
        <v>83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</row>
    <row r="16" spans="1:29" x14ac:dyDescent="0.35">
      <c r="A16" s="16" t="s">
        <v>84</v>
      </c>
      <c r="B16" s="16"/>
      <c r="C16" s="16"/>
      <c r="D16" s="16"/>
      <c r="E16" s="16"/>
      <c r="F16" s="16"/>
      <c r="G16" s="24"/>
      <c r="H16" s="24"/>
      <c r="I16" s="24"/>
      <c r="J16" s="24"/>
      <c r="K16" s="16"/>
      <c r="L16" s="16"/>
      <c r="M16" s="16"/>
      <c r="N16" s="16"/>
      <c r="O16" s="16"/>
      <c r="P16" s="16"/>
      <c r="Q16" s="16"/>
      <c r="R16" s="16"/>
      <c r="S16" s="16"/>
      <c r="T16" s="16"/>
    </row>
    <row r="17" spans="1:30" x14ac:dyDescent="0.35">
      <c r="A17" s="16" t="s">
        <v>85</v>
      </c>
      <c r="B17" s="16"/>
      <c r="C17" s="16"/>
      <c r="D17" s="16"/>
      <c r="E17" s="16"/>
      <c r="F17" s="16"/>
      <c r="G17" s="24"/>
      <c r="H17" s="24"/>
      <c r="I17" s="24"/>
      <c r="J17" s="24"/>
      <c r="K17" s="16"/>
      <c r="L17" s="16"/>
      <c r="M17" s="16"/>
      <c r="N17" s="16"/>
      <c r="O17" s="16"/>
      <c r="P17" s="16"/>
      <c r="Q17" s="16"/>
      <c r="R17" s="16"/>
      <c r="S17" s="16"/>
      <c r="T17" s="16"/>
      <c r="AD17" s="18"/>
    </row>
    <row r="18" spans="1:30" x14ac:dyDescent="0.35">
      <c r="A18" s="16" t="s">
        <v>86</v>
      </c>
      <c r="B18" s="16"/>
      <c r="C18" s="16"/>
      <c r="D18" s="16"/>
      <c r="E18" s="16"/>
      <c r="F18" s="16"/>
      <c r="G18" s="24"/>
      <c r="H18" s="24"/>
      <c r="I18" s="24"/>
      <c r="J18" s="24"/>
      <c r="K18" s="16"/>
      <c r="L18" s="16"/>
      <c r="M18" s="16"/>
      <c r="N18" s="16"/>
      <c r="O18" s="16"/>
      <c r="P18" s="16"/>
      <c r="Q18" s="16"/>
      <c r="R18" s="16"/>
      <c r="S18" s="16"/>
      <c r="T18" s="16"/>
      <c r="AD18" s="19"/>
    </row>
    <row r="19" spans="1:30" x14ac:dyDescent="0.35">
      <c r="A19" s="16" t="s">
        <v>87</v>
      </c>
      <c r="B19" s="16"/>
      <c r="C19" s="16"/>
      <c r="D19" s="16"/>
      <c r="E19" s="16"/>
      <c r="F19" s="16"/>
      <c r="G19" s="24"/>
      <c r="H19" s="24"/>
      <c r="I19" s="24"/>
      <c r="J19" s="24"/>
      <c r="K19" s="16"/>
      <c r="L19" s="16"/>
      <c r="M19" s="16"/>
      <c r="N19" s="16"/>
      <c r="O19" s="16"/>
      <c r="P19" s="16"/>
      <c r="Q19" s="16"/>
      <c r="R19" s="16"/>
      <c r="S19" s="16"/>
      <c r="T19" s="16"/>
      <c r="AD19" s="19"/>
    </row>
    <row r="20" spans="1:30" x14ac:dyDescent="0.35">
      <c r="A20" s="16" t="s">
        <v>88</v>
      </c>
      <c r="B20" s="16"/>
      <c r="C20" s="16"/>
      <c r="D20" s="16"/>
      <c r="E20" s="16"/>
      <c r="F20" s="16"/>
      <c r="G20" s="24"/>
      <c r="H20" s="24"/>
      <c r="I20" s="24"/>
      <c r="J20" s="24"/>
      <c r="K20" s="16"/>
      <c r="L20" s="16"/>
      <c r="M20" s="16"/>
      <c r="N20" s="16"/>
      <c r="O20" s="16"/>
      <c r="P20" s="16"/>
      <c r="Q20" s="16"/>
      <c r="R20" s="16"/>
      <c r="S20" s="16"/>
      <c r="T20" s="16"/>
      <c r="AD20" s="19"/>
    </row>
    <row r="21" spans="1:30" x14ac:dyDescent="0.35">
      <c r="A21" s="16" t="s">
        <v>89</v>
      </c>
      <c r="B21" s="16"/>
      <c r="C21" s="16"/>
      <c r="D21" s="16"/>
      <c r="E21" s="16"/>
      <c r="F21" s="16"/>
      <c r="G21" s="24"/>
      <c r="H21" s="24"/>
      <c r="I21" s="24"/>
      <c r="J21" s="24"/>
      <c r="K21" s="16"/>
      <c r="L21" s="16"/>
      <c r="M21" s="16"/>
      <c r="N21" s="16"/>
      <c r="O21" s="16"/>
      <c r="P21" s="16"/>
      <c r="Q21" s="16"/>
      <c r="R21" s="16"/>
      <c r="S21" s="16"/>
      <c r="T21" s="16"/>
      <c r="AD21" s="19"/>
    </row>
    <row r="22" spans="1:30" x14ac:dyDescent="0.35">
      <c r="A22" s="16" t="s">
        <v>90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AD22" s="19"/>
    </row>
    <row r="23" spans="1:30" x14ac:dyDescent="0.35">
      <c r="A23" s="16" t="s">
        <v>91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AD23" s="19"/>
    </row>
    <row r="24" spans="1:30" x14ac:dyDescent="0.35">
      <c r="A24" s="16" t="s">
        <v>92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X24" s="20"/>
      <c r="Y24" s="20"/>
      <c r="Z24" s="20"/>
    </row>
    <row r="25" spans="1:30" ht="15.5" x14ac:dyDescent="0.35">
      <c r="A25" s="16" t="s">
        <v>93</v>
      </c>
      <c r="B25" s="16"/>
      <c r="C25" s="16"/>
      <c r="D25" s="16"/>
      <c r="E25" s="16"/>
      <c r="F25" s="25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</row>
    <row r="26" spans="1:30" x14ac:dyDescent="0.35">
      <c r="A26" s="16" t="s">
        <v>94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</row>
    <row r="29" spans="1:30" x14ac:dyDescent="0.35">
      <c r="A29" s="17" t="s">
        <v>64</v>
      </c>
    </row>
    <row r="30" spans="1:30" x14ac:dyDescent="0.35">
      <c r="A30" s="17"/>
    </row>
    <row r="31" spans="1:30" x14ac:dyDescent="0.35">
      <c r="A31" t="s">
        <v>26</v>
      </c>
      <c r="B31" t="s">
        <v>1</v>
      </c>
    </row>
    <row r="32" spans="1:30" x14ac:dyDescent="0.35">
      <c r="A32" t="s">
        <v>95</v>
      </c>
      <c r="B32">
        <v>2035</v>
      </c>
    </row>
    <row r="33" spans="1:29" x14ac:dyDescent="0.35">
      <c r="B33" t="s">
        <v>107</v>
      </c>
    </row>
    <row r="35" spans="1:29" x14ac:dyDescent="0.35">
      <c r="A35" s="16" t="s">
        <v>107</v>
      </c>
      <c r="B35" s="16"/>
      <c r="C35" s="16"/>
      <c r="D35" s="16"/>
      <c r="E35" s="16"/>
    </row>
    <row r="36" spans="1:29" ht="15.5" x14ac:dyDescent="0.35">
      <c r="A36" s="16" t="s">
        <v>74</v>
      </c>
      <c r="B36" s="16"/>
      <c r="C36" s="16"/>
      <c r="D36" s="16"/>
      <c r="E36" s="16"/>
      <c r="X36" t="s">
        <v>17</v>
      </c>
      <c r="Y36" t="s">
        <v>18</v>
      </c>
      <c r="Z36" t="s">
        <v>19</v>
      </c>
      <c r="AA36" t="s">
        <v>16</v>
      </c>
      <c r="AC36" s="22" t="s">
        <v>73</v>
      </c>
    </row>
    <row r="37" spans="1:29" x14ac:dyDescent="0.35">
      <c r="A37" s="16" t="s">
        <v>75</v>
      </c>
      <c r="B37" s="16"/>
      <c r="C37" s="16"/>
      <c r="D37" s="16"/>
      <c r="E37" s="16"/>
      <c r="V37" t="s">
        <v>80</v>
      </c>
      <c r="W37" t="s">
        <v>66</v>
      </c>
      <c r="X37" s="26"/>
      <c r="Y37" s="26"/>
      <c r="Z37" s="26"/>
      <c r="AA37" s="26"/>
    </row>
    <row r="38" spans="1:29" x14ac:dyDescent="0.35">
      <c r="A38" s="16" t="s">
        <v>76</v>
      </c>
      <c r="B38" s="16"/>
      <c r="C38" s="16"/>
      <c r="D38" s="16"/>
      <c r="E38" s="16"/>
      <c r="V38" t="s">
        <v>74</v>
      </c>
      <c r="W38" t="s">
        <v>67</v>
      </c>
      <c r="X38" s="26"/>
      <c r="Y38" s="26"/>
      <c r="Z38" s="26"/>
      <c r="AA38" s="26"/>
    </row>
    <row r="39" spans="1:29" x14ac:dyDescent="0.35">
      <c r="A39" s="16" t="s">
        <v>77</v>
      </c>
      <c r="B39" s="16"/>
      <c r="C39" s="16"/>
      <c r="D39" s="16"/>
      <c r="E39" s="16"/>
      <c r="V39" t="s">
        <v>88</v>
      </c>
      <c r="W39" t="s">
        <v>68</v>
      </c>
      <c r="X39" s="26"/>
      <c r="Y39" s="26"/>
      <c r="Z39" s="26"/>
      <c r="AA39" s="26"/>
    </row>
    <row r="40" spans="1:29" x14ac:dyDescent="0.35">
      <c r="A40" s="16" t="s">
        <v>78</v>
      </c>
      <c r="B40" s="16"/>
      <c r="C40" s="16"/>
      <c r="D40" s="16"/>
      <c r="E40" s="16"/>
      <c r="V40" t="s">
        <v>82</v>
      </c>
      <c r="W40" t="s">
        <v>69</v>
      </c>
      <c r="X40" s="26"/>
      <c r="Y40" s="26"/>
      <c r="Z40" s="26"/>
      <c r="AA40" s="26"/>
    </row>
    <row r="41" spans="1:29" x14ac:dyDescent="0.35">
      <c r="A41" s="16" t="s">
        <v>79</v>
      </c>
      <c r="B41" s="16"/>
      <c r="C41" s="16"/>
      <c r="D41" s="16"/>
      <c r="E41" s="16"/>
      <c r="V41" t="s">
        <v>83</v>
      </c>
      <c r="W41" t="s">
        <v>70</v>
      </c>
      <c r="X41" s="19">
        <f t="shared" ref="X41:AA41" si="1">K32</f>
        <v>0</v>
      </c>
      <c r="Y41" s="19">
        <f t="shared" si="1"/>
        <v>0</v>
      </c>
      <c r="Z41" s="19">
        <f t="shared" si="1"/>
        <v>0</v>
      </c>
      <c r="AA41" s="19">
        <f t="shared" si="1"/>
        <v>0</v>
      </c>
    </row>
    <row r="42" spans="1:29" x14ac:dyDescent="0.35">
      <c r="A42" s="16" t="s">
        <v>80</v>
      </c>
      <c r="B42" s="16"/>
      <c r="C42" s="16"/>
      <c r="D42" s="16"/>
      <c r="E42" s="16"/>
      <c r="X42" s="19"/>
      <c r="Y42" s="19"/>
      <c r="Z42" s="19"/>
      <c r="AA42" s="19"/>
    </row>
    <row r="43" spans="1:29" x14ac:dyDescent="0.35">
      <c r="A43" s="16" t="s">
        <v>81</v>
      </c>
      <c r="B43" s="16"/>
      <c r="C43" s="16"/>
      <c r="D43" s="16"/>
      <c r="E43" s="16"/>
    </row>
    <row r="44" spans="1:29" x14ac:dyDescent="0.35">
      <c r="A44" s="16" t="s">
        <v>82</v>
      </c>
      <c r="B44" s="16"/>
      <c r="C44" s="16"/>
      <c r="D44" s="16"/>
      <c r="E44" s="16"/>
    </row>
    <row r="45" spans="1:29" x14ac:dyDescent="0.35">
      <c r="A45" s="16" t="s">
        <v>83</v>
      </c>
      <c r="B45" s="16"/>
      <c r="C45" s="16"/>
      <c r="D45" s="16"/>
      <c r="E45" s="16"/>
    </row>
    <row r="46" spans="1:29" x14ac:dyDescent="0.35">
      <c r="A46" s="16" t="s">
        <v>84</v>
      </c>
      <c r="B46" s="16"/>
      <c r="C46" s="16"/>
      <c r="D46" s="16"/>
      <c r="E46" s="16"/>
    </row>
    <row r="47" spans="1:29" x14ac:dyDescent="0.35">
      <c r="A47" s="16" t="s">
        <v>85</v>
      </c>
      <c r="B47" s="16"/>
      <c r="C47" s="16"/>
      <c r="D47" s="16"/>
      <c r="E47" s="16"/>
    </row>
    <row r="48" spans="1:29" x14ac:dyDescent="0.35">
      <c r="A48" s="16" t="s">
        <v>86</v>
      </c>
      <c r="B48" s="16"/>
      <c r="C48" s="16"/>
      <c r="D48" s="16"/>
      <c r="E48" s="16"/>
    </row>
    <row r="49" spans="1:5" x14ac:dyDescent="0.35">
      <c r="A49" s="16" t="s">
        <v>87</v>
      </c>
      <c r="B49" s="16"/>
      <c r="C49" s="16"/>
      <c r="D49" s="16"/>
      <c r="E49" s="16"/>
    </row>
    <row r="50" spans="1:5" x14ac:dyDescent="0.35">
      <c r="A50" s="16" t="s">
        <v>88</v>
      </c>
      <c r="B50" s="16"/>
      <c r="C50" s="16"/>
      <c r="D50" s="16"/>
      <c r="E50" s="16"/>
    </row>
    <row r="51" spans="1:5" x14ac:dyDescent="0.35">
      <c r="A51" s="16" t="s">
        <v>89</v>
      </c>
      <c r="B51" s="16"/>
      <c r="C51" s="16"/>
      <c r="D51" s="16"/>
      <c r="E51" s="16"/>
    </row>
    <row r="52" spans="1:5" x14ac:dyDescent="0.35">
      <c r="A52" s="16" t="s">
        <v>90</v>
      </c>
      <c r="B52" s="16"/>
      <c r="C52" s="16"/>
      <c r="D52" s="16"/>
      <c r="E52" s="16"/>
    </row>
    <row r="53" spans="1:5" x14ac:dyDescent="0.35">
      <c r="A53" s="16" t="s">
        <v>91</v>
      </c>
      <c r="B53" s="16"/>
      <c r="C53" s="16"/>
      <c r="D53" s="16"/>
      <c r="E53" s="16"/>
    </row>
    <row r="54" spans="1:5" x14ac:dyDescent="0.35">
      <c r="A54" s="16" t="s">
        <v>92</v>
      </c>
      <c r="B54" s="16"/>
      <c r="C54" s="16"/>
      <c r="D54" s="16"/>
      <c r="E54" s="16"/>
    </row>
    <row r="55" spans="1:5" x14ac:dyDescent="0.35">
      <c r="A55" s="16" t="s">
        <v>93</v>
      </c>
      <c r="B55" s="16"/>
      <c r="C55" s="16"/>
      <c r="D55" s="16"/>
      <c r="E55" s="16"/>
    </row>
    <row r="56" spans="1:5" x14ac:dyDescent="0.35">
      <c r="A56" s="16" t="s">
        <v>94</v>
      </c>
      <c r="B56" s="16"/>
      <c r="C56" s="16"/>
      <c r="D56" s="16"/>
      <c r="E56" s="16"/>
    </row>
  </sheetData>
  <pageMargins left="0.7" right="0.7" top="0.75" bottom="0.75" header="0.3" footer="0.3"/>
  <pageSetup paperSize="9"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79DF2-2066-4379-B700-FC3BE0E2085D}">
  <dimension ref="A1:AE71"/>
  <sheetViews>
    <sheetView workbookViewId="0">
      <selection sqref="A1:XFD3"/>
    </sheetView>
  </sheetViews>
  <sheetFormatPr defaultRowHeight="14.5" x14ac:dyDescent="0.35"/>
  <cols>
    <col min="1" max="1" width="14.1796875" bestFit="1" customWidth="1"/>
    <col min="2" max="2" width="17.453125" bestFit="1" customWidth="1"/>
  </cols>
  <sheetData>
    <row r="1" spans="1:31" x14ac:dyDescent="0.35">
      <c r="A1" t="s">
        <v>26</v>
      </c>
      <c r="B1" t="s">
        <v>24</v>
      </c>
    </row>
    <row r="2" spans="1:31" x14ac:dyDescent="0.35">
      <c r="A2" t="s">
        <v>65</v>
      </c>
      <c r="B2" t="s">
        <v>17</v>
      </c>
    </row>
    <row r="3" spans="1:31" x14ac:dyDescent="0.35">
      <c r="B3" t="s">
        <v>100</v>
      </c>
    </row>
    <row r="5" spans="1:31" x14ac:dyDescent="0.35">
      <c r="B5" s="16" t="s">
        <v>100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W5" t="s">
        <v>30</v>
      </c>
      <c r="X5" t="str">
        <f>B5</f>
        <v>xlab_o[*KepRi](D)</v>
      </c>
      <c r="Y5" t="s">
        <v>2</v>
      </c>
      <c r="AA5" t="s">
        <v>31</v>
      </c>
      <c r="AB5" t="s">
        <v>32</v>
      </c>
      <c r="AC5" t="s">
        <v>33</v>
      </c>
      <c r="AE5" s="4" t="s">
        <v>28</v>
      </c>
    </row>
    <row r="6" spans="1:31" x14ac:dyDescent="0.35">
      <c r="A6" t="str">
        <f>MID(B6,FIND(" ",B6)+1,LEN(B6))</f>
        <v>Rice</v>
      </c>
      <c r="B6" s="16" t="s">
        <v>34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W6">
        <f>RANK(Y6,$Y$6:$Y$35,0)</f>
        <v>1</v>
      </c>
      <c r="X6" t="str">
        <f t="shared" ref="X6:X35" si="0">A6</f>
        <v>Rice</v>
      </c>
      <c r="Y6">
        <f t="shared" ref="Y6:Y35" si="1">U6</f>
        <v>0</v>
      </c>
      <c r="AA6">
        <v>1</v>
      </c>
      <c r="AB6" t="str">
        <f>VLOOKUP(AA6,$W$6:$Y$35,2,FALSE)</f>
        <v>Rice</v>
      </c>
      <c r="AC6">
        <f>VLOOKUP(AA6,$W$6:$Y$35,3,FALSE)</f>
        <v>0</v>
      </c>
    </row>
    <row r="7" spans="1:31" x14ac:dyDescent="0.35">
      <c r="A7" t="str">
        <f t="shared" ref="A7:A35" si="2">MID(B7,FIND(" ",B7)+1,LEN(B7))</f>
        <v>FoodCrops</v>
      </c>
      <c r="B7" s="16" t="s">
        <v>35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W7">
        <f t="shared" ref="W7:W35" si="3">RANK(Y7,$Y$6:$Y$35,0)</f>
        <v>1</v>
      </c>
      <c r="X7" t="str">
        <f t="shared" si="0"/>
        <v>FoodCrops</v>
      </c>
      <c r="Y7">
        <f t="shared" si="1"/>
        <v>0</v>
      </c>
      <c r="AA7">
        <v>2</v>
      </c>
      <c r="AB7" t="e">
        <f t="shared" ref="AB7:AB35" si="4">VLOOKUP(AA7,$W$6:$Y$35,2,FALSE)</f>
        <v>#N/A</v>
      </c>
      <c r="AC7" t="e">
        <f t="shared" ref="AC7:AC35" si="5">VLOOKUP(AA7,$W$6:$Y$35,3,FALSE)</f>
        <v>#N/A</v>
      </c>
    </row>
    <row r="8" spans="1:31" x14ac:dyDescent="0.35">
      <c r="A8" t="str">
        <f t="shared" si="2"/>
        <v>OthAgr</v>
      </c>
      <c r="B8" s="16" t="s">
        <v>36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W8">
        <f t="shared" si="3"/>
        <v>1</v>
      </c>
      <c r="X8" t="str">
        <f t="shared" si="0"/>
        <v>OthAgr</v>
      </c>
      <c r="Y8">
        <f t="shared" si="1"/>
        <v>0</v>
      </c>
      <c r="AA8">
        <v>3</v>
      </c>
      <c r="AB8" t="e">
        <f t="shared" si="4"/>
        <v>#N/A</v>
      </c>
      <c r="AC8" t="e">
        <f t="shared" si="5"/>
        <v>#N/A</v>
      </c>
    </row>
    <row r="9" spans="1:31" x14ac:dyDescent="0.35">
      <c r="A9" t="str">
        <f t="shared" si="2"/>
        <v>Forestry</v>
      </c>
      <c r="B9" s="16" t="s">
        <v>37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W9">
        <f t="shared" si="3"/>
        <v>1</v>
      </c>
      <c r="X9" t="str">
        <f t="shared" si="0"/>
        <v>Forestry</v>
      </c>
      <c r="Y9">
        <f t="shared" si="1"/>
        <v>0</v>
      </c>
      <c r="AA9">
        <v>4</v>
      </c>
      <c r="AB9" t="e">
        <f t="shared" si="4"/>
        <v>#N/A</v>
      </c>
      <c r="AC9" t="e">
        <f t="shared" si="5"/>
        <v>#N/A</v>
      </c>
    </row>
    <row r="10" spans="1:31" x14ac:dyDescent="0.35">
      <c r="A10" t="str">
        <f t="shared" si="2"/>
        <v>OthPlant</v>
      </c>
      <c r="B10" s="16" t="s">
        <v>38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W10">
        <f t="shared" si="3"/>
        <v>1</v>
      </c>
      <c r="X10" t="str">
        <f t="shared" si="0"/>
        <v>OthPlant</v>
      </c>
      <c r="Y10">
        <f t="shared" si="1"/>
        <v>0</v>
      </c>
      <c r="AA10">
        <v>5</v>
      </c>
      <c r="AB10" t="e">
        <f t="shared" si="4"/>
        <v>#N/A</v>
      </c>
      <c r="AC10" t="e">
        <f t="shared" si="5"/>
        <v>#N/A</v>
      </c>
    </row>
    <row r="11" spans="1:31" x14ac:dyDescent="0.35">
      <c r="A11" t="str">
        <f t="shared" si="2"/>
        <v>Fishery</v>
      </c>
      <c r="B11" s="16" t="s">
        <v>39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W11">
        <f t="shared" si="3"/>
        <v>1</v>
      </c>
      <c r="X11" t="str">
        <f t="shared" si="0"/>
        <v>Fishery</v>
      </c>
      <c r="Y11">
        <f t="shared" si="1"/>
        <v>0</v>
      </c>
      <c r="AA11">
        <v>6</v>
      </c>
      <c r="AB11" t="e">
        <f t="shared" si="4"/>
        <v>#N/A</v>
      </c>
      <c r="AC11" t="e">
        <f t="shared" si="5"/>
        <v>#N/A</v>
      </c>
    </row>
    <row r="12" spans="1:31" x14ac:dyDescent="0.35">
      <c r="A12" t="str">
        <f t="shared" si="2"/>
        <v>Coal</v>
      </c>
      <c r="B12" s="16" t="s">
        <v>40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W12">
        <f t="shared" si="3"/>
        <v>1</v>
      </c>
      <c r="X12" t="str">
        <f t="shared" si="0"/>
        <v>Coal</v>
      </c>
      <c r="Y12">
        <f t="shared" si="1"/>
        <v>0</v>
      </c>
      <c r="AA12">
        <v>7</v>
      </c>
      <c r="AB12" t="e">
        <f t="shared" si="4"/>
        <v>#N/A</v>
      </c>
      <c r="AC12" t="e">
        <f t="shared" si="5"/>
        <v>#N/A</v>
      </c>
    </row>
    <row r="13" spans="1:31" x14ac:dyDescent="0.35">
      <c r="A13" t="str">
        <f t="shared" si="2"/>
        <v>NatGas</v>
      </c>
      <c r="B13" s="16" t="s">
        <v>41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W13">
        <f t="shared" si="3"/>
        <v>1</v>
      </c>
      <c r="X13" t="str">
        <f t="shared" si="0"/>
        <v>NatGas</v>
      </c>
      <c r="Y13">
        <f t="shared" si="1"/>
        <v>0</v>
      </c>
      <c r="AA13">
        <v>8</v>
      </c>
      <c r="AB13" t="e">
        <f t="shared" si="4"/>
        <v>#N/A</v>
      </c>
      <c r="AC13" t="e">
        <f t="shared" si="5"/>
        <v>#N/A</v>
      </c>
    </row>
    <row r="14" spans="1:31" x14ac:dyDescent="0.35">
      <c r="A14" t="str">
        <f t="shared" si="2"/>
        <v>OthMine</v>
      </c>
      <c r="B14" s="16" t="s">
        <v>42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W14">
        <f t="shared" si="3"/>
        <v>1</v>
      </c>
      <c r="X14" t="str">
        <f t="shared" si="0"/>
        <v>OthMine</v>
      </c>
      <c r="Y14">
        <f t="shared" si="1"/>
        <v>0</v>
      </c>
      <c r="AA14">
        <v>9</v>
      </c>
      <c r="AB14" t="e">
        <f t="shared" si="4"/>
        <v>#N/A</v>
      </c>
      <c r="AC14" t="e">
        <f t="shared" si="5"/>
        <v>#N/A</v>
      </c>
    </row>
    <row r="15" spans="1:31" x14ac:dyDescent="0.35">
      <c r="A15" t="str">
        <f t="shared" si="2"/>
        <v>FoodProds</v>
      </c>
      <c r="B15" s="16" t="s">
        <v>43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W15">
        <f t="shared" si="3"/>
        <v>1</v>
      </c>
      <c r="X15" t="str">
        <f t="shared" si="0"/>
        <v>FoodProds</v>
      </c>
      <c r="Y15">
        <f t="shared" si="1"/>
        <v>0</v>
      </c>
      <c r="AA15">
        <v>10</v>
      </c>
      <c r="AB15" t="e">
        <f t="shared" si="4"/>
        <v>#N/A</v>
      </c>
      <c r="AC15" t="e">
        <f t="shared" si="5"/>
        <v>#N/A</v>
      </c>
    </row>
    <row r="16" spans="1:31" x14ac:dyDescent="0.35">
      <c r="A16" t="str">
        <f t="shared" si="2"/>
        <v>EdibleOils</v>
      </c>
      <c r="B16" s="16" t="s">
        <v>44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W16">
        <f t="shared" si="3"/>
        <v>1</v>
      </c>
      <c r="X16" t="str">
        <f t="shared" si="0"/>
        <v>EdibleOils</v>
      </c>
      <c r="Y16">
        <f t="shared" si="1"/>
        <v>0</v>
      </c>
      <c r="AA16">
        <v>11</v>
      </c>
      <c r="AB16" t="e">
        <f t="shared" si="4"/>
        <v>#N/A</v>
      </c>
      <c r="AC16" t="e">
        <f t="shared" si="5"/>
        <v>#N/A</v>
      </c>
    </row>
    <row r="17" spans="1:29" x14ac:dyDescent="0.35">
      <c r="A17" t="str">
        <f t="shared" si="2"/>
        <v>RiceMilling</v>
      </c>
      <c r="B17" s="16" t="s">
        <v>45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W17">
        <f t="shared" si="3"/>
        <v>1</v>
      </c>
      <c r="X17" t="str">
        <f t="shared" si="0"/>
        <v>RiceMilling</v>
      </c>
      <c r="Y17">
        <f t="shared" si="1"/>
        <v>0</v>
      </c>
      <c r="AA17">
        <v>12</v>
      </c>
      <c r="AB17" t="e">
        <f t="shared" si="4"/>
        <v>#N/A</v>
      </c>
      <c r="AC17" t="e">
        <f t="shared" si="5"/>
        <v>#N/A</v>
      </c>
    </row>
    <row r="18" spans="1:29" x14ac:dyDescent="0.35">
      <c r="A18" t="str">
        <f t="shared" si="2"/>
        <v>PetrolRefin</v>
      </c>
      <c r="B18" s="16" t="s">
        <v>46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W18">
        <f t="shared" si="3"/>
        <v>1</v>
      </c>
      <c r="X18" t="str">
        <f t="shared" si="0"/>
        <v>PetrolRefin</v>
      </c>
      <c r="Y18">
        <f t="shared" si="1"/>
        <v>0</v>
      </c>
      <c r="AA18">
        <v>13</v>
      </c>
      <c r="AB18" t="e">
        <f t="shared" si="4"/>
        <v>#N/A</v>
      </c>
      <c r="AC18" t="e">
        <f t="shared" si="5"/>
        <v>#N/A</v>
      </c>
    </row>
    <row r="19" spans="1:29" x14ac:dyDescent="0.35">
      <c r="A19" t="str">
        <f t="shared" si="2"/>
        <v>BasChemicals</v>
      </c>
      <c r="B19" s="16" t="s">
        <v>47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W19">
        <f t="shared" si="3"/>
        <v>1</v>
      </c>
      <c r="X19" t="str">
        <f t="shared" si="0"/>
        <v>BasChemicals</v>
      </c>
      <c r="Y19">
        <f t="shared" si="1"/>
        <v>0</v>
      </c>
      <c r="AA19">
        <v>14</v>
      </c>
      <c r="AB19" t="e">
        <f t="shared" si="4"/>
        <v>#N/A</v>
      </c>
      <c r="AC19" t="e">
        <f t="shared" si="5"/>
        <v>#N/A</v>
      </c>
    </row>
    <row r="20" spans="1:29" x14ac:dyDescent="0.35">
      <c r="A20" t="str">
        <f t="shared" si="2"/>
        <v>Fertilizer</v>
      </c>
      <c r="B20" s="16" t="s">
        <v>48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W20">
        <f t="shared" si="3"/>
        <v>1</v>
      </c>
      <c r="X20" t="str">
        <f t="shared" si="0"/>
        <v>Fertilizer</v>
      </c>
      <c r="Y20">
        <f t="shared" si="1"/>
        <v>0</v>
      </c>
      <c r="AA20">
        <v>15</v>
      </c>
      <c r="AB20" t="e">
        <f t="shared" si="4"/>
        <v>#N/A</v>
      </c>
      <c r="AC20" t="e">
        <f t="shared" si="5"/>
        <v>#N/A</v>
      </c>
    </row>
    <row r="21" spans="1:29" x14ac:dyDescent="0.35">
      <c r="A21" t="str">
        <f t="shared" si="2"/>
        <v>ElectEqp</v>
      </c>
      <c r="B21" s="16" t="s">
        <v>49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W21">
        <f t="shared" si="3"/>
        <v>1</v>
      </c>
      <c r="X21" t="str">
        <f t="shared" si="0"/>
        <v>ElectEqp</v>
      </c>
      <c r="Y21">
        <f t="shared" si="1"/>
        <v>0</v>
      </c>
      <c r="AA21">
        <v>16</v>
      </c>
      <c r="AB21" t="e">
        <f t="shared" si="4"/>
        <v>#N/A</v>
      </c>
      <c r="AC21" t="e">
        <f t="shared" si="5"/>
        <v>#N/A</v>
      </c>
    </row>
    <row r="22" spans="1:29" x14ac:dyDescent="0.35">
      <c r="A22" t="str">
        <f t="shared" si="2"/>
        <v>OthMan</v>
      </c>
      <c r="B22" s="16" t="s">
        <v>50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W22">
        <f t="shared" si="3"/>
        <v>1</v>
      </c>
      <c r="X22" t="str">
        <f t="shared" si="0"/>
        <v>OthMan</v>
      </c>
      <c r="Y22">
        <f t="shared" si="1"/>
        <v>0</v>
      </c>
      <c r="AA22">
        <v>17</v>
      </c>
      <c r="AB22" t="e">
        <f t="shared" si="4"/>
        <v>#N/A</v>
      </c>
      <c r="AC22" t="e">
        <f t="shared" si="5"/>
        <v>#N/A</v>
      </c>
    </row>
    <row r="23" spans="1:29" x14ac:dyDescent="0.35">
      <c r="A23" t="str">
        <f t="shared" si="2"/>
        <v>ElecGas</v>
      </c>
      <c r="B23" s="16" t="s">
        <v>51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W23">
        <f t="shared" si="3"/>
        <v>1</v>
      </c>
      <c r="X23" t="str">
        <f t="shared" si="0"/>
        <v>ElecGas</v>
      </c>
      <c r="Y23">
        <f t="shared" si="1"/>
        <v>0</v>
      </c>
      <c r="AA23">
        <v>18</v>
      </c>
      <c r="AB23" t="e">
        <f t="shared" si="4"/>
        <v>#N/A</v>
      </c>
      <c r="AC23" t="e">
        <f t="shared" si="5"/>
        <v>#N/A</v>
      </c>
    </row>
    <row r="24" spans="1:29" x14ac:dyDescent="0.35">
      <c r="A24" t="str">
        <f t="shared" si="2"/>
        <v>OthUtil</v>
      </c>
      <c r="B24" s="16" t="s">
        <v>52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W24">
        <f t="shared" si="3"/>
        <v>1</v>
      </c>
      <c r="X24" t="str">
        <f t="shared" si="0"/>
        <v>OthUtil</v>
      </c>
      <c r="Y24">
        <f t="shared" si="1"/>
        <v>0</v>
      </c>
      <c r="AA24">
        <v>19</v>
      </c>
      <c r="AB24" t="e">
        <f t="shared" si="4"/>
        <v>#N/A</v>
      </c>
      <c r="AC24" t="e">
        <f t="shared" si="5"/>
        <v>#N/A</v>
      </c>
    </row>
    <row r="25" spans="1:29" x14ac:dyDescent="0.35">
      <c r="A25" t="str">
        <f t="shared" si="2"/>
        <v>Construction</v>
      </c>
      <c r="B25" s="16" t="s">
        <v>53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W25">
        <f t="shared" si="3"/>
        <v>1</v>
      </c>
      <c r="X25" t="str">
        <f t="shared" si="0"/>
        <v>Construction</v>
      </c>
      <c r="Y25">
        <f t="shared" si="1"/>
        <v>0</v>
      </c>
      <c r="AA25">
        <v>20</v>
      </c>
      <c r="AB25" t="e">
        <f t="shared" si="4"/>
        <v>#N/A</v>
      </c>
      <c r="AC25" t="e">
        <f t="shared" si="5"/>
        <v>#N/A</v>
      </c>
    </row>
    <row r="26" spans="1:29" x14ac:dyDescent="0.35">
      <c r="A26" t="str">
        <f t="shared" si="2"/>
        <v>Trade</v>
      </c>
      <c r="B26" s="16" t="s">
        <v>54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W26">
        <f t="shared" si="3"/>
        <v>1</v>
      </c>
      <c r="X26" t="str">
        <f t="shared" si="0"/>
        <v>Trade</v>
      </c>
      <c r="Y26">
        <f t="shared" si="1"/>
        <v>0</v>
      </c>
      <c r="AA26">
        <v>21</v>
      </c>
      <c r="AB26" t="e">
        <f t="shared" si="4"/>
        <v>#N/A</v>
      </c>
      <c r="AC26" t="e">
        <f t="shared" si="5"/>
        <v>#N/A</v>
      </c>
    </row>
    <row r="27" spans="1:29" x14ac:dyDescent="0.35">
      <c r="A27" t="str">
        <f t="shared" si="2"/>
        <v>LandRailTr</v>
      </c>
      <c r="B27" s="16" t="s">
        <v>55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W27">
        <f t="shared" si="3"/>
        <v>1</v>
      </c>
      <c r="X27" t="str">
        <f t="shared" si="0"/>
        <v>LandRailTr</v>
      </c>
      <c r="Y27">
        <f t="shared" si="1"/>
        <v>0</v>
      </c>
      <c r="AA27">
        <v>22</v>
      </c>
      <c r="AB27" t="e">
        <f t="shared" si="4"/>
        <v>#N/A</v>
      </c>
      <c r="AC27" t="e">
        <f t="shared" si="5"/>
        <v>#N/A</v>
      </c>
    </row>
    <row r="28" spans="1:29" x14ac:dyDescent="0.35">
      <c r="A28" t="str">
        <f t="shared" si="2"/>
        <v>SeaRiverTr</v>
      </c>
      <c r="B28" s="16" t="s">
        <v>56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W28">
        <f t="shared" si="3"/>
        <v>1</v>
      </c>
      <c r="X28" t="str">
        <f t="shared" si="0"/>
        <v>SeaRiverTr</v>
      </c>
      <c r="Y28">
        <f t="shared" si="1"/>
        <v>0</v>
      </c>
      <c r="AA28">
        <v>23</v>
      </c>
      <c r="AB28" t="e">
        <f t="shared" si="4"/>
        <v>#N/A</v>
      </c>
      <c r="AC28" t="e">
        <f t="shared" si="5"/>
        <v>#N/A</v>
      </c>
    </row>
    <row r="29" spans="1:29" x14ac:dyDescent="0.35">
      <c r="A29" t="str">
        <f t="shared" si="2"/>
        <v>AirTransport</v>
      </c>
      <c r="B29" s="16" t="s">
        <v>57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W29">
        <f t="shared" si="3"/>
        <v>1</v>
      </c>
      <c r="X29" t="str">
        <f t="shared" si="0"/>
        <v>AirTransport</v>
      </c>
      <c r="Y29">
        <f t="shared" si="1"/>
        <v>0</v>
      </c>
      <c r="AA29">
        <v>24</v>
      </c>
      <c r="AB29" t="e">
        <f t="shared" si="4"/>
        <v>#N/A</v>
      </c>
      <c r="AC29" t="e">
        <f t="shared" si="5"/>
        <v>#N/A</v>
      </c>
    </row>
    <row r="30" spans="1:29" x14ac:dyDescent="0.35">
      <c r="A30" t="str">
        <f t="shared" si="2"/>
        <v>OthTrans</v>
      </c>
      <c r="B30" s="16" t="s">
        <v>58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W30">
        <f t="shared" si="3"/>
        <v>1</v>
      </c>
      <c r="X30" t="str">
        <f t="shared" si="0"/>
        <v>OthTrans</v>
      </c>
      <c r="Y30">
        <f t="shared" si="1"/>
        <v>0</v>
      </c>
      <c r="AA30">
        <v>25</v>
      </c>
      <c r="AB30" t="e">
        <f t="shared" si="4"/>
        <v>#N/A</v>
      </c>
      <c r="AC30" t="e">
        <f t="shared" si="5"/>
        <v>#N/A</v>
      </c>
    </row>
    <row r="31" spans="1:29" x14ac:dyDescent="0.35">
      <c r="A31" t="str">
        <f t="shared" si="2"/>
        <v>Telecommunic</v>
      </c>
      <c r="B31" s="16" t="s">
        <v>59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W31">
        <f t="shared" si="3"/>
        <v>1</v>
      </c>
      <c r="X31" t="str">
        <f t="shared" si="0"/>
        <v>Telecommunic</v>
      </c>
      <c r="Y31">
        <f t="shared" si="1"/>
        <v>0</v>
      </c>
      <c r="AA31">
        <v>26</v>
      </c>
      <c r="AB31" t="e">
        <f t="shared" si="4"/>
        <v>#N/A</v>
      </c>
      <c r="AC31" t="e">
        <f t="shared" si="5"/>
        <v>#N/A</v>
      </c>
    </row>
    <row r="32" spans="1:29" x14ac:dyDescent="0.35">
      <c r="A32" t="str">
        <f t="shared" si="2"/>
        <v>InformatTech</v>
      </c>
      <c r="B32" s="16" t="s">
        <v>60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W32">
        <f t="shared" si="3"/>
        <v>1</v>
      </c>
      <c r="X32" t="str">
        <f t="shared" si="0"/>
        <v>InformatTech</v>
      </c>
      <c r="Y32">
        <f t="shared" si="1"/>
        <v>0</v>
      </c>
      <c r="AA32">
        <v>27</v>
      </c>
      <c r="AB32" t="e">
        <f t="shared" si="4"/>
        <v>#N/A</v>
      </c>
      <c r="AC32" t="e">
        <f t="shared" si="5"/>
        <v>#N/A</v>
      </c>
    </row>
    <row r="33" spans="1:31" x14ac:dyDescent="0.35">
      <c r="A33" t="str">
        <f t="shared" si="2"/>
        <v>Banking</v>
      </c>
      <c r="B33" s="16" t="s">
        <v>61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W33">
        <f t="shared" si="3"/>
        <v>1</v>
      </c>
      <c r="X33" t="str">
        <f t="shared" si="0"/>
        <v>Banking</v>
      </c>
      <c r="Y33">
        <f t="shared" si="1"/>
        <v>0</v>
      </c>
      <c r="AA33">
        <v>28</v>
      </c>
      <c r="AB33" t="e">
        <f t="shared" si="4"/>
        <v>#N/A</v>
      </c>
      <c r="AC33" t="e">
        <f t="shared" si="5"/>
        <v>#N/A</v>
      </c>
    </row>
    <row r="34" spans="1:31" x14ac:dyDescent="0.35">
      <c r="A34" t="str">
        <f t="shared" si="2"/>
        <v>RealEstate</v>
      </c>
      <c r="B34" s="16" t="s">
        <v>62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W34">
        <f t="shared" si="3"/>
        <v>1</v>
      </c>
      <c r="X34" t="str">
        <f t="shared" si="0"/>
        <v>RealEstate</v>
      </c>
      <c r="Y34">
        <f t="shared" si="1"/>
        <v>0</v>
      </c>
      <c r="AA34">
        <v>29</v>
      </c>
      <c r="AB34" t="e">
        <f t="shared" si="4"/>
        <v>#N/A</v>
      </c>
      <c r="AC34" t="e">
        <f t="shared" si="5"/>
        <v>#N/A</v>
      </c>
    </row>
    <row r="35" spans="1:31" x14ac:dyDescent="0.35">
      <c r="A35" t="str">
        <f t="shared" si="2"/>
        <v>OthServices</v>
      </c>
      <c r="B35" s="16" t="s">
        <v>63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W35">
        <f t="shared" si="3"/>
        <v>1</v>
      </c>
      <c r="X35" t="str">
        <f t="shared" si="0"/>
        <v>OthServices</v>
      </c>
      <c r="Y35">
        <f t="shared" si="1"/>
        <v>0</v>
      </c>
      <c r="AA35">
        <v>30</v>
      </c>
      <c r="AB35" t="e">
        <f t="shared" si="4"/>
        <v>#N/A</v>
      </c>
      <c r="AC35" t="e">
        <f t="shared" si="5"/>
        <v>#N/A</v>
      </c>
    </row>
    <row r="37" spans="1:31" x14ac:dyDescent="0.35">
      <c r="A37" t="s">
        <v>26</v>
      </c>
      <c r="B37" t="s">
        <v>25</v>
      </c>
    </row>
    <row r="38" spans="1:31" x14ac:dyDescent="0.35">
      <c r="A38" t="s">
        <v>65</v>
      </c>
      <c r="B38" t="s">
        <v>17</v>
      </c>
    </row>
    <row r="39" spans="1:31" x14ac:dyDescent="0.35">
      <c r="B39" t="s">
        <v>101</v>
      </c>
    </row>
    <row r="41" spans="1:31" x14ac:dyDescent="0.35">
      <c r="B41" s="16" t="s">
        <v>101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W41" t="s">
        <v>30</v>
      </c>
      <c r="X41" t="str">
        <f>B41</f>
        <v>xtot[*KepRi](D)</v>
      </c>
      <c r="Y41">
        <f t="shared" ref="Y41:Y71" si="6">U41</f>
        <v>0</v>
      </c>
      <c r="AA41" t="s">
        <v>31</v>
      </c>
      <c r="AB41" t="s">
        <v>32</v>
      </c>
      <c r="AC41" t="s">
        <v>33</v>
      </c>
      <c r="AE41" s="4" t="s">
        <v>29</v>
      </c>
    </row>
    <row r="42" spans="1:31" x14ac:dyDescent="0.35">
      <c r="A42" t="str">
        <f>MID(B42,FIND(" ",B42)+1,LEN(B42))</f>
        <v>Rice</v>
      </c>
      <c r="B42" s="16" t="s">
        <v>34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W42">
        <f>RANK(Y42,$Y$42:$Y$71,0)</f>
        <v>1</v>
      </c>
      <c r="X42" t="str">
        <f t="shared" ref="X42:X71" si="7">A42</f>
        <v>Rice</v>
      </c>
      <c r="Y42">
        <f t="shared" si="6"/>
        <v>0</v>
      </c>
      <c r="AA42">
        <v>1</v>
      </c>
      <c r="AB42" t="str">
        <f>VLOOKUP(AA42,$W$42:$Y$71,2,FALSE)</f>
        <v>Rice</v>
      </c>
      <c r="AC42">
        <f>VLOOKUP(AA42,$W$42:$Y$71,3,FALSE)</f>
        <v>0</v>
      </c>
    </row>
    <row r="43" spans="1:31" x14ac:dyDescent="0.35">
      <c r="A43" t="str">
        <f t="shared" ref="A43:A71" si="8">MID(B43,FIND(" ",B43)+1,LEN(B43))</f>
        <v>FoodCrops</v>
      </c>
      <c r="B43" s="16" t="s">
        <v>35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W43">
        <f t="shared" ref="W43:W71" si="9">RANK(Y43,$Y$42:$Y$71,0)</f>
        <v>1</v>
      </c>
      <c r="X43" t="str">
        <f t="shared" si="7"/>
        <v>FoodCrops</v>
      </c>
      <c r="Y43">
        <f t="shared" si="6"/>
        <v>0</v>
      </c>
      <c r="AA43">
        <v>2</v>
      </c>
      <c r="AB43" t="e">
        <f t="shared" ref="AB43:AB71" si="10">VLOOKUP(AA43,$W$42:$Y$71,2,FALSE)</f>
        <v>#N/A</v>
      </c>
      <c r="AC43" t="e">
        <f t="shared" ref="AC43:AC71" si="11">VLOOKUP(AA43,$W$42:$Y$71,3,FALSE)</f>
        <v>#N/A</v>
      </c>
    </row>
    <row r="44" spans="1:31" x14ac:dyDescent="0.35">
      <c r="A44" t="str">
        <f t="shared" si="8"/>
        <v>OthAgr</v>
      </c>
      <c r="B44" s="16" t="s">
        <v>36</v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W44">
        <f t="shared" si="9"/>
        <v>1</v>
      </c>
      <c r="X44" t="str">
        <f t="shared" si="7"/>
        <v>OthAgr</v>
      </c>
      <c r="Y44">
        <f t="shared" si="6"/>
        <v>0</v>
      </c>
      <c r="AA44">
        <v>3</v>
      </c>
      <c r="AB44" t="e">
        <f t="shared" si="10"/>
        <v>#N/A</v>
      </c>
      <c r="AC44" t="e">
        <f t="shared" si="11"/>
        <v>#N/A</v>
      </c>
    </row>
    <row r="45" spans="1:31" x14ac:dyDescent="0.35">
      <c r="A45" t="str">
        <f t="shared" si="8"/>
        <v>Forestry</v>
      </c>
      <c r="B45" s="16" t="s">
        <v>37</v>
      </c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W45">
        <f t="shared" si="9"/>
        <v>1</v>
      </c>
      <c r="X45" t="str">
        <f t="shared" si="7"/>
        <v>Forestry</v>
      </c>
      <c r="Y45">
        <f t="shared" si="6"/>
        <v>0</v>
      </c>
      <c r="AA45">
        <v>4</v>
      </c>
      <c r="AB45" t="e">
        <f t="shared" si="10"/>
        <v>#N/A</v>
      </c>
      <c r="AC45" t="e">
        <f t="shared" si="11"/>
        <v>#N/A</v>
      </c>
    </row>
    <row r="46" spans="1:31" x14ac:dyDescent="0.35">
      <c r="A46" t="str">
        <f t="shared" si="8"/>
        <v>OthPlant</v>
      </c>
      <c r="B46" s="16" t="s">
        <v>38</v>
      </c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W46">
        <f t="shared" si="9"/>
        <v>1</v>
      </c>
      <c r="X46" t="str">
        <f t="shared" si="7"/>
        <v>OthPlant</v>
      </c>
      <c r="Y46">
        <f t="shared" si="6"/>
        <v>0</v>
      </c>
      <c r="AA46">
        <v>5</v>
      </c>
      <c r="AB46" t="e">
        <f t="shared" si="10"/>
        <v>#N/A</v>
      </c>
      <c r="AC46" t="e">
        <f t="shared" si="11"/>
        <v>#N/A</v>
      </c>
    </row>
    <row r="47" spans="1:31" x14ac:dyDescent="0.35">
      <c r="A47" t="str">
        <f t="shared" si="8"/>
        <v>Fishery</v>
      </c>
      <c r="B47" s="16" t="s">
        <v>39</v>
      </c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W47">
        <f t="shared" si="9"/>
        <v>1</v>
      </c>
      <c r="X47" t="str">
        <f t="shared" si="7"/>
        <v>Fishery</v>
      </c>
      <c r="Y47">
        <f t="shared" si="6"/>
        <v>0</v>
      </c>
      <c r="AA47">
        <v>6</v>
      </c>
      <c r="AB47" t="e">
        <f t="shared" si="10"/>
        <v>#N/A</v>
      </c>
      <c r="AC47" t="e">
        <f t="shared" si="11"/>
        <v>#N/A</v>
      </c>
    </row>
    <row r="48" spans="1:31" x14ac:dyDescent="0.35">
      <c r="A48" t="str">
        <f t="shared" si="8"/>
        <v>Coal</v>
      </c>
      <c r="B48" s="16" t="s">
        <v>40</v>
      </c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W48">
        <f t="shared" si="9"/>
        <v>1</v>
      </c>
      <c r="X48" t="str">
        <f t="shared" si="7"/>
        <v>Coal</v>
      </c>
      <c r="Y48">
        <f t="shared" si="6"/>
        <v>0</v>
      </c>
      <c r="AA48">
        <v>7</v>
      </c>
      <c r="AB48" t="e">
        <f t="shared" si="10"/>
        <v>#N/A</v>
      </c>
      <c r="AC48" t="e">
        <f t="shared" si="11"/>
        <v>#N/A</v>
      </c>
    </row>
    <row r="49" spans="1:29" x14ac:dyDescent="0.35">
      <c r="A49" t="str">
        <f t="shared" si="8"/>
        <v>NatGas</v>
      </c>
      <c r="B49" s="16" t="s">
        <v>41</v>
      </c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W49">
        <f t="shared" si="9"/>
        <v>1</v>
      </c>
      <c r="X49" t="str">
        <f t="shared" si="7"/>
        <v>NatGas</v>
      </c>
      <c r="Y49">
        <f t="shared" si="6"/>
        <v>0</v>
      </c>
      <c r="AA49">
        <v>8</v>
      </c>
      <c r="AB49" t="e">
        <f t="shared" si="10"/>
        <v>#N/A</v>
      </c>
      <c r="AC49" t="e">
        <f t="shared" si="11"/>
        <v>#N/A</v>
      </c>
    </row>
    <row r="50" spans="1:29" x14ac:dyDescent="0.35">
      <c r="A50" t="str">
        <f t="shared" si="8"/>
        <v>OthMine</v>
      </c>
      <c r="B50" s="16" t="s">
        <v>42</v>
      </c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W50">
        <f t="shared" si="9"/>
        <v>1</v>
      </c>
      <c r="X50" t="str">
        <f t="shared" si="7"/>
        <v>OthMine</v>
      </c>
      <c r="Y50">
        <f t="shared" si="6"/>
        <v>0</v>
      </c>
      <c r="AA50">
        <v>9</v>
      </c>
      <c r="AB50" t="e">
        <f t="shared" si="10"/>
        <v>#N/A</v>
      </c>
      <c r="AC50" t="e">
        <f t="shared" si="11"/>
        <v>#N/A</v>
      </c>
    </row>
    <row r="51" spans="1:29" x14ac:dyDescent="0.35">
      <c r="A51" t="str">
        <f t="shared" si="8"/>
        <v>FoodProds</v>
      </c>
      <c r="B51" s="16" t="s">
        <v>43</v>
      </c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W51">
        <f t="shared" si="9"/>
        <v>1</v>
      </c>
      <c r="X51" t="str">
        <f t="shared" si="7"/>
        <v>FoodProds</v>
      </c>
      <c r="Y51">
        <f t="shared" si="6"/>
        <v>0</v>
      </c>
      <c r="AA51">
        <v>10</v>
      </c>
      <c r="AB51" t="e">
        <f t="shared" si="10"/>
        <v>#N/A</v>
      </c>
      <c r="AC51" t="e">
        <f t="shared" si="11"/>
        <v>#N/A</v>
      </c>
    </row>
    <row r="52" spans="1:29" x14ac:dyDescent="0.35">
      <c r="A52" t="str">
        <f t="shared" si="8"/>
        <v>EdibleOils</v>
      </c>
      <c r="B52" s="16" t="s">
        <v>44</v>
      </c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W52">
        <f t="shared" si="9"/>
        <v>1</v>
      </c>
      <c r="X52" t="str">
        <f t="shared" si="7"/>
        <v>EdibleOils</v>
      </c>
      <c r="Y52">
        <f t="shared" si="6"/>
        <v>0</v>
      </c>
      <c r="AA52">
        <v>11</v>
      </c>
      <c r="AB52" t="e">
        <f t="shared" si="10"/>
        <v>#N/A</v>
      </c>
      <c r="AC52" t="e">
        <f t="shared" si="11"/>
        <v>#N/A</v>
      </c>
    </row>
    <row r="53" spans="1:29" x14ac:dyDescent="0.35">
      <c r="A53" t="str">
        <f t="shared" si="8"/>
        <v>RiceMilling</v>
      </c>
      <c r="B53" s="16" t="s">
        <v>45</v>
      </c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W53">
        <f t="shared" si="9"/>
        <v>1</v>
      </c>
      <c r="X53" t="str">
        <f t="shared" si="7"/>
        <v>RiceMilling</v>
      </c>
      <c r="Y53">
        <f t="shared" si="6"/>
        <v>0</v>
      </c>
      <c r="AA53">
        <v>12</v>
      </c>
      <c r="AB53" t="e">
        <f t="shared" si="10"/>
        <v>#N/A</v>
      </c>
      <c r="AC53" t="e">
        <f t="shared" si="11"/>
        <v>#N/A</v>
      </c>
    </row>
    <row r="54" spans="1:29" x14ac:dyDescent="0.35">
      <c r="A54" t="str">
        <f t="shared" si="8"/>
        <v>PetrolRefin</v>
      </c>
      <c r="B54" s="16" t="s">
        <v>46</v>
      </c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W54">
        <f t="shared" si="9"/>
        <v>1</v>
      </c>
      <c r="X54" t="str">
        <f t="shared" si="7"/>
        <v>PetrolRefin</v>
      </c>
      <c r="Y54">
        <f t="shared" si="6"/>
        <v>0</v>
      </c>
      <c r="AA54">
        <v>13</v>
      </c>
      <c r="AB54" t="e">
        <f t="shared" si="10"/>
        <v>#N/A</v>
      </c>
      <c r="AC54" t="e">
        <f t="shared" si="11"/>
        <v>#N/A</v>
      </c>
    </row>
    <row r="55" spans="1:29" x14ac:dyDescent="0.35">
      <c r="A55" t="str">
        <f t="shared" si="8"/>
        <v>BasChemicals</v>
      </c>
      <c r="B55" s="16" t="s">
        <v>47</v>
      </c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W55">
        <f t="shared" si="9"/>
        <v>1</v>
      </c>
      <c r="X55" t="str">
        <f t="shared" si="7"/>
        <v>BasChemicals</v>
      </c>
      <c r="Y55">
        <f t="shared" si="6"/>
        <v>0</v>
      </c>
      <c r="AA55">
        <v>14</v>
      </c>
      <c r="AB55" t="e">
        <f t="shared" si="10"/>
        <v>#N/A</v>
      </c>
      <c r="AC55" t="e">
        <f t="shared" si="11"/>
        <v>#N/A</v>
      </c>
    </row>
    <row r="56" spans="1:29" x14ac:dyDescent="0.35">
      <c r="A56" t="str">
        <f t="shared" si="8"/>
        <v>Fertilizer</v>
      </c>
      <c r="B56" s="16" t="s">
        <v>48</v>
      </c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W56">
        <f t="shared" si="9"/>
        <v>1</v>
      </c>
      <c r="X56" t="str">
        <f t="shared" si="7"/>
        <v>Fertilizer</v>
      </c>
      <c r="Y56">
        <f t="shared" si="6"/>
        <v>0</v>
      </c>
      <c r="AA56">
        <v>15</v>
      </c>
      <c r="AB56" t="e">
        <f t="shared" si="10"/>
        <v>#N/A</v>
      </c>
      <c r="AC56" t="e">
        <f t="shared" si="11"/>
        <v>#N/A</v>
      </c>
    </row>
    <row r="57" spans="1:29" x14ac:dyDescent="0.35">
      <c r="A57" t="str">
        <f t="shared" si="8"/>
        <v>ElectEqp</v>
      </c>
      <c r="B57" s="16" t="s">
        <v>49</v>
      </c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W57">
        <f t="shared" si="9"/>
        <v>1</v>
      </c>
      <c r="X57" t="str">
        <f t="shared" si="7"/>
        <v>ElectEqp</v>
      </c>
      <c r="Y57">
        <f t="shared" si="6"/>
        <v>0</v>
      </c>
      <c r="AA57">
        <v>16</v>
      </c>
      <c r="AB57" t="e">
        <f t="shared" si="10"/>
        <v>#N/A</v>
      </c>
      <c r="AC57" t="e">
        <f t="shared" si="11"/>
        <v>#N/A</v>
      </c>
    </row>
    <row r="58" spans="1:29" x14ac:dyDescent="0.35">
      <c r="A58" t="str">
        <f t="shared" si="8"/>
        <v>OthMan</v>
      </c>
      <c r="B58" s="16" t="s">
        <v>50</v>
      </c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W58">
        <f t="shared" si="9"/>
        <v>1</v>
      </c>
      <c r="X58" t="str">
        <f t="shared" si="7"/>
        <v>OthMan</v>
      </c>
      <c r="Y58">
        <f t="shared" si="6"/>
        <v>0</v>
      </c>
      <c r="AA58">
        <v>17</v>
      </c>
      <c r="AB58" t="e">
        <f t="shared" si="10"/>
        <v>#N/A</v>
      </c>
      <c r="AC58" t="e">
        <f t="shared" si="11"/>
        <v>#N/A</v>
      </c>
    </row>
    <row r="59" spans="1:29" x14ac:dyDescent="0.35">
      <c r="A59" t="str">
        <f t="shared" si="8"/>
        <v>ElecGas</v>
      </c>
      <c r="B59" s="16" t="s">
        <v>51</v>
      </c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W59">
        <f t="shared" si="9"/>
        <v>1</v>
      </c>
      <c r="X59" t="str">
        <f t="shared" si="7"/>
        <v>ElecGas</v>
      </c>
      <c r="Y59">
        <f t="shared" si="6"/>
        <v>0</v>
      </c>
      <c r="AA59">
        <v>18</v>
      </c>
      <c r="AB59" t="e">
        <f t="shared" si="10"/>
        <v>#N/A</v>
      </c>
      <c r="AC59" t="e">
        <f t="shared" si="11"/>
        <v>#N/A</v>
      </c>
    </row>
    <row r="60" spans="1:29" x14ac:dyDescent="0.35">
      <c r="A60" t="str">
        <f t="shared" si="8"/>
        <v>OthUtil</v>
      </c>
      <c r="B60" s="16" t="s">
        <v>52</v>
      </c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W60">
        <f t="shared" si="9"/>
        <v>1</v>
      </c>
      <c r="X60" t="str">
        <f t="shared" si="7"/>
        <v>OthUtil</v>
      </c>
      <c r="Y60">
        <f t="shared" si="6"/>
        <v>0</v>
      </c>
      <c r="AA60">
        <v>19</v>
      </c>
      <c r="AB60" t="e">
        <f t="shared" si="10"/>
        <v>#N/A</v>
      </c>
      <c r="AC60" t="e">
        <f t="shared" si="11"/>
        <v>#N/A</v>
      </c>
    </row>
    <row r="61" spans="1:29" x14ac:dyDescent="0.35">
      <c r="A61" t="str">
        <f t="shared" si="8"/>
        <v>Construction</v>
      </c>
      <c r="B61" s="16" t="s">
        <v>53</v>
      </c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W61">
        <f t="shared" si="9"/>
        <v>1</v>
      </c>
      <c r="X61" t="str">
        <f t="shared" si="7"/>
        <v>Construction</v>
      </c>
      <c r="Y61">
        <f t="shared" si="6"/>
        <v>0</v>
      </c>
      <c r="AA61">
        <v>20</v>
      </c>
      <c r="AB61" t="e">
        <f t="shared" si="10"/>
        <v>#N/A</v>
      </c>
      <c r="AC61" t="e">
        <f t="shared" si="11"/>
        <v>#N/A</v>
      </c>
    </row>
    <row r="62" spans="1:29" x14ac:dyDescent="0.35">
      <c r="A62" t="str">
        <f t="shared" si="8"/>
        <v>Trade</v>
      </c>
      <c r="B62" s="16" t="s">
        <v>54</v>
      </c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W62">
        <f t="shared" si="9"/>
        <v>1</v>
      </c>
      <c r="X62" t="str">
        <f t="shared" si="7"/>
        <v>Trade</v>
      </c>
      <c r="Y62">
        <f t="shared" si="6"/>
        <v>0</v>
      </c>
      <c r="AA62">
        <v>21</v>
      </c>
      <c r="AB62" t="e">
        <f t="shared" si="10"/>
        <v>#N/A</v>
      </c>
      <c r="AC62" t="e">
        <f t="shared" si="11"/>
        <v>#N/A</v>
      </c>
    </row>
    <row r="63" spans="1:29" x14ac:dyDescent="0.35">
      <c r="A63" t="str">
        <f t="shared" si="8"/>
        <v>LandRailTr</v>
      </c>
      <c r="B63" s="16" t="s">
        <v>55</v>
      </c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W63">
        <f t="shared" si="9"/>
        <v>1</v>
      </c>
      <c r="X63" t="str">
        <f t="shared" si="7"/>
        <v>LandRailTr</v>
      </c>
      <c r="Y63">
        <f t="shared" si="6"/>
        <v>0</v>
      </c>
      <c r="AA63">
        <v>22</v>
      </c>
      <c r="AB63" t="e">
        <f t="shared" si="10"/>
        <v>#N/A</v>
      </c>
      <c r="AC63" t="e">
        <f t="shared" si="11"/>
        <v>#N/A</v>
      </c>
    </row>
    <row r="64" spans="1:29" x14ac:dyDescent="0.35">
      <c r="A64" t="str">
        <f t="shared" si="8"/>
        <v>SeaRiverTr</v>
      </c>
      <c r="B64" s="16" t="s">
        <v>56</v>
      </c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W64">
        <f t="shared" si="9"/>
        <v>1</v>
      </c>
      <c r="X64" t="str">
        <f t="shared" si="7"/>
        <v>SeaRiverTr</v>
      </c>
      <c r="Y64">
        <f t="shared" si="6"/>
        <v>0</v>
      </c>
      <c r="AA64">
        <v>23</v>
      </c>
      <c r="AB64" t="e">
        <f t="shared" si="10"/>
        <v>#N/A</v>
      </c>
      <c r="AC64" t="e">
        <f t="shared" si="11"/>
        <v>#N/A</v>
      </c>
    </row>
    <row r="65" spans="1:29" x14ac:dyDescent="0.35">
      <c r="A65" t="str">
        <f t="shared" si="8"/>
        <v>AirTransport</v>
      </c>
      <c r="B65" s="16" t="s">
        <v>57</v>
      </c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W65">
        <f t="shared" si="9"/>
        <v>1</v>
      </c>
      <c r="X65" t="str">
        <f t="shared" si="7"/>
        <v>AirTransport</v>
      </c>
      <c r="Y65">
        <f t="shared" si="6"/>
        <v>0</v>
      </c>
      <c r="AA65">
        <v>24</v>
      </c>
      <c r="AB65" t="e">
        <f t="shared" si="10"/>
        <v>#N/A</v>
      </c>
      <c r="AC65" t="e">
        <f t="shared" si="11"/>
        <v>#N/A</v>
      </c>
    </row>
    <row r="66" spans="1:29" x14ac:dyDescent="0.35">
      <c r="A66" t="str">
        <f t="shared" si="8"/>
        <v>OthTrans</v>
      </c>
      <c r="B66" s="16" t="s">
        <v>58</v>
      </c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W66">
        <f t="shared" si="9"/>
        <v>1</v>
      </c>
      <c r="X66" t="str">
        <f t="shared" si="7"/>
        <v>OthTrans</v>
      </c>
      <c r="Y66">
        <f t="shared" si="6"/>
        <v>0</v>
      </c>
      <c r="AA66">
        <v>25</v>
      </c>
      <c r="AB66" t="e">
        <f t="shared" si="10"/>
        <v>#N/A</v>
      </c>
      <c r="AC66" t="e">
        <f t="shared" si="11"/>
        <v>#N/A</v>
      </c>
    </row>
    <row r="67" spans="1:29" x14ac:dyDescent="0.35">
      <c r="A67" t="str">
        <f t="shared" si="8"/>
        <v>Telecommunic</v>
      </c>
      <c r="B67" s="16" t="s">
        <v>59</v>
      </c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W67">
        <f t="shared" si="9"/>
        <v>1</v>
      </c>
      <c r="X67" t="str">
        <f t="shared" si="7"/>
        <v>Telecommunic</v>
      </c>
      <c r="Y67">
        <f t="shared" si="6"/>
        <v>0</v>
      </c>
      <c r="AA67">
        <v>26</v>
      </c>
      <c r="AB67" t="e">
        <f t="shared" si="10"/>
        <v>#N/A</v>
      </c>
      <c r="AC67" t="e">
        <f t="shared" si="11"/>
        <v>#N/A</v>
      </c>
    </row>
    <row r="68" spans="1:29" x14ac:dyDescent="0.35">
      <c r="A68" t="str">
        <f t="shared" si="8"/>
        <v>InformatTech</v>
      </c>
      <c r="B68" s="16" t="s">
        <v>60</v>
      </c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W68">
        <f t="shared" si="9"/>
        <v>1</v>
      </c>
      <c r="X68" t="str">
        <f t="shared" si="7"/>
        <v>InformatTech</v>
      </c>
      <c r="Y68">
        <f t="shared" si="6"/>
        <v>0</v>
      </c>
      <c r="AA68">
        <v>27</v>
      </c>
      <c r="AB68" t="e">
        <f t="shared" si="10"/>
        <v>#N/A</v>
      </c>
      <c r="AC68" t="e">
        <f t="shared" si="11"/>
        <v>#N/A</v>
      </c>
    </row>
    <row r="69" spans="1:29" x14ac:dyDescent="0.35">
      <c r="A69" t="str">
        <f t="shared" si="8"/>
        <v>Banking</v>
      </c>
      <c r="B69" s="16" t="s">
        <v>61</v>
      </c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W69">
        <f t="shared" si="9"/>
        <v>1</v>
      </c>
      <c r="X69" t="str">
        <f t="shared" si="7"/>
        <v>Banking</v>
      </c>
      <c r="Y69">
        <f t="shared" si="6"/>
        <v>0</v>
      </c>
      <c r="AA69">
        <v>28</v>
      </c>
      <c r="AB69" t="e">
        <f t="shared" si="10"/>
        <v>#N/A</v>
      </c>
      <c r="AC69" t="e">
        <f t="shared" si="11"/>
        <v>#N/A</v>
      </c>
    </row>
    <row r="70" spans="1:29" x14ac:dyDescent="0.35">
      <c r="A70" t="str">
        <f t="shared" si="8"/>
        <v>RealEstate</v>
      </c>
      <c r="B70" s="16" t="s">
        <v>62</v>
      </c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W70">
        <f t="shared" si="9"/>
        <v>1</v>
      </c>
      <c r="X70" t="str">
        <f t="shared" si="7"/>
        <v>RealEstate</v>
      </c>
      <c r="Y70">
        <f t="shared" si="6"/>
        <v>0</v>
      </c>
      <c r="AA70">
        <v>29</v>
      </c>
      <c r="AB70" t="e">
        <f t="shared" si="10"/>
        <v>#N/A</v>
      </c>
      <c r="AC70" t="e">
        <f t="shared" si="11"/>
        <v>#N/A</v>
      </c>
    </row>
    <row r="71" spans="1:29" x14ac:dyDescent="0.35">
      <c r="A71" t="str">
        <f t="shared" si="8"/>
        <v>OthServices</v>
      </c>
      <c r="B71" s="16" t="s">
        <v>63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W71">
        <f t="shared" si="9"/>
        <v>1</v>
      </c>
      <c r="X71" t="str">
        <f t="shared" si="7"/>
        <v>OthServices</v>
      </c>
      <c r="Y71">
        <f t="shared" si="6"/>
        <v>0</v>
      </c>
      <c r="AA71">
        <v>30</v>
      </c>
      <c r="AB71" t="e">
        <f t="shared" si="10"/>
        <v>#N/A</v>
      </c>
      <c r="AC71" t="e">
        <f t="shared" si="11"/>
        <v>#N/A</v>
      </c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67354-76BB-4866-8EC3-595230C82C80}">
  <dimension ref="A1:T27"/>
  <sheetViews>
    <sheetView topLeftCell="A4" workbookViewId="0">
      <selection activeCell="B5" sqref="B5:T26"/>
    </sheetView>
  </sheetViews>
  <sheetFormatPr defaultRowHeight="14.5" x14ac:dyDescent="0.35"/>
  <cols>
    <col min="1" max="1" width="21.54296875" bestFit="1" customWidth="1"/>
  </cols>
  <sheetData>
    <row r="1" spans="1:20" x14ac:dyDescent="0.35">
      <c r="A1" t="s">
        <v>26</v>
      </c>
      <c r="B1" t="s">
        <v>1</v>
      </c>
    </row>
    <row r="2" spans="1:20" x14ac:dyDescent="0.35">
      <c r="A2" t="s">
        <v>65</v>
      </c>
      <c r="B2" t="s">
        <v>17</v>
      </c>
    </row>
    <row r="3" spans="1:20" x14ac:dyDescent="0.35">
      <c r="B3" t="s">
        <v>106</v>
      </c>
    </row>
    <row r="5" spans="1:20" x14ac:dyDescent="0.35">
      <c r="A5" s="16" t="s">
        <v>106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</row>
    <row r="6" spans="1:20" x14ac:dyDescent="0.35">
      <c r="A6" s="16" t="s">
        <v>74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</row>
    <row r="7" spans="1:20" x14ac:dyDescent="0.35">
      <c r="A7" s="16" t="s">
        <v>75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</row>
    <row r="8" spans="1:20" x14ac:dyDescent="0.35">
      <c r="A8" s="16" t="s">
        <v>76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</row>
    <row r="9" spans="1:20" x14ac:dyDescent="0.35">
      <c r="A9" s="16" t="s">
        <v>77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pans="1:20" x14ac:dyDescent="0.35">
      <c r="A10" s="16" t="s">
        <v>78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</row>
    <row r="11" spans="1:20" x14ac:dyDescent="0.35">
      <c r="A11" s="16" t="s">
        <v>79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</row>
    <row r="12" spans="1:20" x14ac:dyDescent="0.35">
      <c r="A12" s="16" t="s">
        <v>80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</row>
    <row r="13" spans="1:20" x14ac:dyDescent="0.35">
      <c r="A13" s="16" t="s">
        <v>81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</row>
    <row r="14" spans="1:20" x14ac:dyDescent="0.35">
      <c r="A14" s="16" t="s">
        <v>82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</row>
    <row r="15" spans="1:20" x14ac:dyDescent="0.35">
      <c r="A15" s="16" t="s">
        <v>83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</row>
    <row r="16" spans="1:20" x14ac:dyDescent="0.35">
      <c r="A16" s="16" t="s">
        <v>84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</row>
    <row r="17" spans="1:20" x14ac:dyDescent="0.35">
      <c r="A17" s="16" t="s">
        <v>85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</row>
    <row r="18" spans="1:20" x14ac:dyDescent="0.35">
      <c r="A18" s="16" t="s">
        <v>86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</row>
    <row r="19" spans="1:20" x14ac:dyDescent="0.35">
      <c r="A19" s="16" t="s">
        <v>87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</row>
    <row r="20" spans="1:20" x14ac:dyDescent="0.35">
      <c r="A20" s="16" t="s">
        <v>88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 spans="1:20" x14ac:dyDescent="0.35">
      <c r="A21" s="16" t="s">
        <v>89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</row>
    <row r="22" spans="1:20" x14ac:dyDescent="0.35">
      <c r="A22" s="16" t="s">
        <v>90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</row>
    <row r="23" spans="1:20" x14ac:dyDescent="0.35">
      <c r="A23" s="16" t="s">
        <v>91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</row>
    <row r="24" spans="1:20" x14ac:dyDescent="0.35">
      <c r="A24" s="16" t="s">
        <v>92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</row>
    <row r="25" spans="1:20" x14ac:dyDescent="0.35">
      <c r="A25" s="16" t="s">
        <v>93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</row>
    <row r="26" spans="1:20" x14ac:dyDescent="0.35">
      <c r="A26" s="16" t="s">
        <v>94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</row>
    <row r="27" spans="1:20" x14ac:dyDescent="0.35">
      <c r="A27" s="27" t="s">
        <v>27</v>
      </c>
      <c r="B27" s="27">
        <f>B15-B12</f>
        <v>0</v>
      </c>
      <c r="C27" s="27">
        <f t="shared" ref="C27:T27" si="0">C15-C12</f>
        <v>0</v>
      </c>
      <c r="D27" s="27">
        <f t="shared" si="0"/>
        <v>0</v>
      </c>
      <c r="E27" s="27">
        <f t="shared" si="0"/>
        <v>0</v>
      </c>
      <c r="F27" s="27">
        <f t="shared" si="0"/>
        <v>0</v>
      </c>
      <c r="G27" s="27">
        <f t="shared" si="0"/>
        <v>0</v>
      </c>
      <c r="H27" s="27">
        <f t="shared" si="0"/>
        <v>0</v>
      </c>
      <c r="I27" s="27">
        <f t="shared" si="0"/>
        <v>0</v>
      </c>
      <c r="J27" s="27">
        <f t="shared" si="0"/>
        <v>0</v>
      </c>
      <c r="K27" s="27">
        <f t="shared" si="0"/>
        <v>0</v>
      </c>
      <c r="L27" s="27">
        <f t="shared" si="0"/>
        <v>0</v>
      </c>
      <c r="M27" s="27">
        <f t="shared" si="0"/>
        <v>0</v>
      </c>
      <c r="N27" s="27">
        <f t="shared" si="0"/>
        <v>0</v>
      </c>
      <c r="O27" s="27">
        <f t="shared" si="0"/>
        <v>0</v>
      </c>
      <c r="P27" s="27">
        <f t="shared" si="0"/>
        <v>0</v>
      </c>
      <c r="Q27" s="27">
        <f t="shared" si="0"/>
        <v>0</v>
      </c>
      <c r="R27" s="27">
        <f t="shared" si="0"/>
        <v>0</v>
      </c>
      <c r="S27" s="27">
        <f t="shared" si="0"/>
        <v>0</v>
      </c>
      <c r="T27" s="27">
        <f t="shared" si="0"/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5AC3F-C408-4FC8-B7AB-E50215EBB8E7}">
  <dimension ref="A1:U25"/>
  <sheetViews>
    <sheetView topLeftCell="A22" workbookViewId="0">
      <selection activeCell="G27" sqref="G27"/>
    </sheetView>
  </sheetViews>
  <sheetFormatPr defaultRowHeight="14.5" x14ac:dyDescent="0.35"/>
  <cols>
    <col min="1" max="1" width="26.453125" bestFit="1" customWidth="1"/>
    <col min="2" max="10" width="14" bestFit="1" customWidth="1"/>
    <col min="11" max="20" width="15" bestFit="1" customWidth="1"/>
    <col min="21" max="21" width="11.81640625" bestFit="1" customWidth="1"/>
  </cols>
  <sheetData>
    <row r="1" spans="1:21" x14ac:dyDescent="0.35">
      <c r="A1" s="28" t="s">
        <v>109</v>
      </c>
    </row>
    <row r="3" spans="1:21" x14ac:dyDescent="0.35">
      <c r="A3" s="17" t="s">
        <v>0</v>
      </c>
    </row>
    <row r="4" spans="1:21" x14ac:dyDescent="0.35">
      <c r="A4" s="16" t="s">
        <v>110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1" x14ac:dyDescent="0.35">
      <c r="A5" s="16" t="s">
        <v>112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 spans="1:21" x14ac:dyDescent="0.35">
      <c r="A6" s="16" t="s">
        <v>113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spans="1:21" x14ac:dyDescent="0.35">
      <c r="A7" s="16" t="s">
        <v>114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x14ac:dyDescent="0.35">
      <c r="A8" s="16" t="s">
        <v>115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 spans="1:21" x14ac:dyDescent="0.35">
      <c r="A9" s="16" t="s">
        <v>116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</row>
    <row r="10" spans="1:21" x14ac:dyDescent="0.35">
      <c r="A10" s="16" t="s">
        <v>111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</row>
    <row r="11" spans="1:21" x14ac:dyDescent="0.35">
      <c r="A11" s="29" t="s">
        <v>121</v>
      </c>
      <c r="B11" s="29" t="e">
        <f>B6/B10</f>
        <v>#DIV/0!</v>
      </c>
      <c r="C11" s="29" t="e">
        <f t="shared" ref="C11:U11" si="0">C6/C10</f>
        <v>#DIV/0!</v>
      </c>
      <c r="D11" s="29" t="e">
        <f t="shared" si="0"/>
        <v>#DIV/0!</v>
      </c>
      <c r="E11" s="29" t="e">
        <f t="shared" si="0"/>
        <v>#DIV/0!</v>
      </c>
      <c r="F11" s="29" t="e">
        <f t="shared" si="0"/>
        <v>#DIV/0!</v>
      </c>
      <c r="G11" s="29" t="e">
        <f t="shared" si="0"/>
        <v>#DIV/0!</v>
      </c>
      <c r="H11" s="29" t="e">
        <f t="shared" si="0"/>
        <v>#DIV/0!</v>
      </c>
      <c r="I11" s="29" t="e">
        <f t="shared" si="0"/>
        <v>#DIV/0!</v>
      </c>
      <c r="J11" s="29" t="e">
        <f t="shared" si="0"/>
        <v>#DIV/0!</v>
      </c>
      <c r="K11" s="29" t="e">
        <f t="shared" si="0"/>
        <v>#DIV/0!</v>
      </c>
      <c r="L11" s="29" t="e">
        <f t="shared" si="0"/>
        <v>#DIV/0!</v>
      </c>
      <c r="M11" s="29" t="e">
        <f t="shared" si="0"/>
        <v>#DIV/0!</v>
      </c>
      <c r="N11" s="29" t="e">
        <f t="shared" si="0"/>
        <v>#DIV/0!</v>
      </c>
      <c r="O11" s="29" t="e">
        <f t="shared" si="0"/>
        <v>#DIV/0!</v>
      </c>
      <c r="P11" s="29" t="e">
        <f t="shared" si="0"/>
        <v>#DIV/0!</v>
      </c>
      <c r="Q11" s="29" t="e">
        <f t="shared" si="0"/>
        <v>#DIV/0!</v>
      </c>
      <c r="R11" s="29" t="e">
        <f t="shared" si="0"/>
        <v>#DIV/0!</v>
      </c>
      <c r="S11" s="29" t="e">
        <f t="shared" si="0"/>
        <v>#DIV/0!</v>
      </c>
      <c r="T11" s="29" t="e">
        <f t="shared" si="0"/>
        <v>#DIV/0!</v>
      </c>
      <c r="U11" t="e">
        <f t="shared" si="0"/>
        <v>#DIV/0!</v>
      </c>
    </row>
    <row r="13" spans="1:21" x14ac:dyDescent="0.35">
      <c r="A13" s="17" t="s">
        <v>7</v>
      </c>
    </row>
    <row r="14" spans="1:21" x14ac:dyDescent="0.35">
      <c r="A14" s="16" t="s">
        <v>110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</row>
    <row r="15" spans="1:21" x14ac:dyDescent="0.35">
      <c r="A15" s="16" t="s">
        <v>112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</row>
    <row r="16" spans="1:21" x14ac:dyDescent="0.35">
      <c r="A16" s="16" t="s">
        <v>113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</row>
    <row r="17" spans="1:21" x14ac:dyDescent="0.35">
      <c r="A17" s="16" t="s">
        <v>114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</row>
    <row r="18" spans="1:21" x14ac:dyDescent="0.35">
      <c r="A18" s="16" t="s">
        <v>115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</row>
    <row r="19" spans="1:21" x14ac:dyDescent="0.35">
      <c r="A19" s="16" t="s">
        <v>116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</row>
    <row r="20" spans="1:21" x14ac:dyDescent="0.35">
      <c r="A20" s="16" t="s">
        <v>111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</row>
    <row r="21" spans="1:21" x14ac:dyDescent="0.35">
      <c r="A21" s="29" t="s">
        <v>121</v>
      </c>
      <c r="B21" s="29" t="e">
        <f>B16/B20</f>
        <v>#DIV/0!</v>
      </c>
      <c r="C21" s="29" t="e">
        <f t="shared" ref="C21" si="1">C16/C20</f>
        <v>#DIV/0!</v>
      </c>
      <c r="D21" s="29" t="e">
        <f t="shared" ref="D21" si="2">D16/D20</f>
        <v>#DIV/0!</v>
      </c>
      <c r="E21" s="29" t="e">
        <f t="shared" ref="E21" si="3">E16/E20</f>
        <v>#DIV/0!</v>
      </c>
      <c r="F21" s="29" t="e">
        <f t="shared" ref="F21" si="4">F16/F20</f>
        <v>#DIV/0!</v>
      </c>
      <c r="G21" s="29" t="e">
        <f t="shared" ref="G21" si="5">G16/G20</f>
        <v>#DIV/0!</v>
      </c>
      <c r="H21" s="29" t="e">
        <f t="shared" ref="H21" si="6">H16/H20</f>
        <v>#DIV/0!</v>
      </c>
      <c r="I21" s="29" t="e">
        <f t="shared" ref="I21" si="7">I16/I20</f>
        <v>#DIV/0!</v>
      </c>
      <c r="J21" s="29" t="e">
        <f t="shared" ref="J21" si="8">J16/J20</f>
        <v>#DIV/0!</v>
      </c>
      <c r="K21" s="29" t="e">
        <f t="shared" ref="K21" si="9">K16/K20</f>
        <v>#DIV/0!</v>
      </c>
      <c r="L21" s="29" t="e">
        <f t="shared" ref="L21" si="10">L16/L20</f>
        <v>#DIV/0!</v>
      </c>
      <c r="M21" s="29" t="e">
        <f t="shared" ref="M21" si="11">M16/M20</f>
        <v>#DIV/0!</v>
      </c>
      <c r="N21" s="29" t="e">
        <f t="shared" ref="N21" si="12">N16/N20</f>
        <v>#DIV/0!</v>
      </c>
      <c r="O21" s="29" t="e">
        <f t="shared" ref="O21" si="13">O16/O20</f>
        <v>#DIV/0!</v>
      </c>
      <c r="P21" s="29" t="e">
        <f t="shared" ref="P21" si="14">P16/P20</f>
        <v>#DIV/0!</v>
      </c>
      <c r="Q21" s="29" t="e">
        <f t="shared" ref="Q21" si="15">Q16/Q20</f>
        <v>#DIV/0!</v>
      </c>
      <c r="R21" s="29" t="e">
        <f t="shared" ref="R21" si="16">R16/R20</f>
        <v>#DIV/0!</v>
      </c>
      <c r="S21" s="29" t="e">
        <f t="shared" ref="S21" si="17">S16/S20</f>
        <v>#DIV/0!</v>
      </c>
      <c r="T21" s="29" t="e">
        <f t="shared" ref="T21" si="18">T16/T20</f>
        <v>#DIV/0!</v>
      </c>
      <c r="U21" t="e">
        <f t="shared" ref="U21" si="19">U16/U20</f>
        <v>#DIV/0!</v>
      </c>
    </row>
    <row r="23" spans="1:21" x14ac:dyDescent="0.35">
      <c r="B23">
        <v>2026</v>
      </c>
      <c r="C23">
        <v>2027</v>
      </c>
      <c r="D23">
        <v>2028</v>
      </c>
      <c r="E23">
        <v>2029</v>
      </c>
      <c r="F23">
        <v>2030</v>
      </c>
      <c r="G23">
        <v>2031</v>
      </c>
      <c r="H23">
        <v>2032</v>
      </c>
      <c r="I23">
        <v>2033</v>
      </c>
      <c r="J23">
        <v>2034</v>
      </c>
      <c r="K23">
        <v>2035</v>
      </c>
    </row>
    <row r="24" spans="1:21" x14ac:dyDescent="0.35">
      <c r="A24" t="s">
        <v>0</v>
      </c>
      <c r="B24" s="30" t="e">
        <f>K11</f>
        <v>#DIV/0!</v>
      </c>
      <c r="C24" s="30" t="e">
        <f t="shared" ref="C24:K24" si="20">L11</f>
        <v>#DIV/0!</v>
      </c>
      <c r="D24" s="30" t="e">
        <f t="shared" si="20"/>
        <v>#DIV/0!</v>
      </c>
      <c r="E24" s="30" t="e">
        <f t="shared" si="20"/>
        <v>#DIV/0!</v>
      </c>
      <c r="F24" s="30" t="e">
        <f t="shared" si="20"/>
        <v>#DIV/0!</v>
      </c>
      <c r="G24" s="30" t="e">
        <f t="shared" si="20"/>
        <v>#DIV/0!</v>
      </c>
      <c r="H24" s="30" t="e">
        <f t="shared" si="20"/>
        <v>#DIV/0!</v>
      </c>
      <c r="I24" s="30" t="e">
        <f t="shared" si="20"/>
        <v>#DIV/0!</v>
      </c>
      <c r="J24" s="30" t="e">
        <f t="shared" si="20"/>
        <v>#DIV/0!</v>
      </c>
      <c r="K24" s="30" t="e">
        <f t="shared" si="20"/>
        <v>#DIV/0!</v>
      </c>
    </row>
    <row r="25" spans="1:21" x14ac:dyDescent="0.35">
      <c r="A25" t="s">
        <v>27</v>
      </c>
      <c r="B25" s="30" t="e">
        <f>K21</f>
        <v>#DIV/0!</v>
      </c>
      <c r="C25" s="30" t="e">
        <f t="shared" ref="C25:K25" si="21">L21</f>
        <v>#DIV/0!</v>
      </c>
      <c r="D25" s="30" t="e">
        <f t="shared" si="21"/>
        <v>#DIV/0!</v>
      </c>
      <c r="E25" s="30" t="e">
        <f t="shared" si="21"/>
        <v>#DIV/0!</v>
      </c>
      <c r="F25" s="30" t="e">
        <f t="shared" si="21"/>
        <v>#DIV/0!</v>
      </c>
      <c r="G25" s="30" t="e">
        <f t="shared" si="21"/>
        <v>#DIV/0!</v>
      </c>
      <c r="H25" s="30" t="e">
        <f t="shared" si="21"/>
        <v>#DIV/0!</v>
      </c>
      <c r="I25" s="30" t="e">
        <f t="shared" si="21"/>
        <v>#DIV/0!</v>
      </c>
      <c r="J25" s="30" t="e">
        <f t="shared" si="21"/>
        <v>#DIV/0!</v>
      </c>
      <c r="K25" s="30" t="e">
        <f t="shared" si="21"/>
        <v>#DIV/0!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Instruksi</vt:lpstr>
      <vt:lpstr>g_gain</vt:lpstr>
      <vt:lpstr>makro</vt:lpstr>
      <vt:lpstr>sektoral</vt:lpstr>
      <vt:lpstr>Inclusiv1</vt:lpstr>
      <vt:lpstr>Inclusiv2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AK</cp:lastModifiedBy>
  <dcterms:created xsi:type="dcterms:W3CDTF">2025-11-01T04:38:18Z</dcterms:created>
  <dcterms:modified xsi:type="dcterms:W3CDTF">2025-11-05T09:06:21Z</dcterms:modified>
</cp:coreProperties>
</file>